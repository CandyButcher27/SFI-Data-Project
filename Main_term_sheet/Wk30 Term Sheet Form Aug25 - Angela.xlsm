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table+xml" PartName="/xl/tables/table1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2"/>
  </bookViews>
  <sheets>
    <sheet r:id="rId1" sheetId="1" name="ISINs"/>
    <sheet r:id="rId2" sheetId="2" name="1.Form"/>
    <sheet r:id="rId3" sheetId="3" name="2.Export"/>
    <sheet r:id="rId4" sheetId="4" name="Export_Conversion"/>
    <sheet r:id="rId5" sheetId="5" name="Version History"/>
    <sheet r:id="rId6" sheetId="6" name="Lists"/>
  </sheets>
  <calcPr fullCalcOnLoad="1"/>
</workbook>
</file>

<file path=xl/sharedStrings.xml><?xml version="1.0" encoding="utf-8"?>
<sst xmlns="http://schemas.openxmlformats.org/spreadsheetml/2006/main" count="893" uniqueCount="627">
  <si>
    <t>Currency</t>
  </si>
  <si>
    <t>Code</t>
  </si>
  <si>
    <t>Moody's</t>
  </si>
  <si>
    <t>S&amp;P</t>
  </si>
  <si>
    <t>Fitch</t>
  </si>
  <si>
    <t>Status</t>
  </si>
  <si>
    <t>Syndicate</t>
  </si>
  <si>
    <t>Exchanges</t>
  </si>
  <si>
    <t>UAE Dirham</t>
  </si>
  <si>
    <t>AED</t>
  </si>
  <si>
    <t>Aaa</t>
  </si>
  <si>
    <t>AAA</t>
  </si>
  <si>
    <t>Senior Secured</t>
  </si>
  <si>
    <t>&lt;enter name of syndicate member&gt;</t>
  </si>
  <si>
    <t>&lt;enter name of exchange&gt;</t>
  </si>
  <si>
    <t>Afghani</t>
  </si>
  <si>
    <t>AFN</t>
  </si>
  <si>
    <t>Aa1</t>
  </si>
  <si>
    <t>AA+</t>
  </si>
  <si>
    <t>Senior Unsecured</t>
  </si>
  <si>
    <t>Other</t>
  </si>
  <si>
    <t>Lek</t>
  </si>
  <si>
    <t>ALL</t>
  </si>
  <si>
    <t>Aa2</t>
  </si>
  <si>
    <t>AA</t>
  </si>
  <si>
    <t>Senior Preferred</t>
  </si>
  <si>
    <t>ABN AMRO Bank N.V.</t>
  </si>
  <si>
    <t>Argentina Stock Exchange</t>
  </si>
  <si>
    <t>Armenian Dram</t>
  </si>
  <si>
    <t>AMD</t>
  </si>
  <si>
    <t>Aa3</t>
  </si>
  <si>
    <t>AA-</t>
  </si>
  <si>
    <t>Senior Non-Preferred</t>
  </si>
  <si>
    <t>ABN AMRO Securities (USA) LLC</t>
  </si>
  <si>
    <t>Astana International Exchange</t>
  </si>
  <si>
    <t>Netherlands Antillean Guilder</t>
  </si>
  <si>
    <t>ANG</t>
  </si>
  <si>
    <t>A1</t>
  </si>
  <si>
    <t>A+</t>
  </si>
  <si>
    <t>Senior</t>
  </si>
  <si>
    <t>Banca IMI S.p.A.</t>
  </si>
  <si>
    <t>Bolsas y Mercados Espanoles</t>
  </si>
  <si>
    <t>Kwanza</t>
  </si>
  <si>
    <t>AOA</t>
  </si>
  <si>
    <t>A2</t>
  </si>
  <si>
    <t>A</t>
  </si>
  <si>
    <t>Subordinated</t>
  </si>
  <si>
    <t>Banco Bilbao Vizcaya Argentaria, S.A.</t>
  </si>
  <si>
    <t>Bombay Stock Exchange</t>
  </si>
  <si>
    <t>Argentine Peso</t>
  </si>
  <si>
    <t>ARS</t>
  </si>
  <si>
    <t>A3</t>
  </si>
  <si>
    <t>A-</t>
  </si>
  <si>
    <t>Junior Subordinated</t>
  </si>
  <si>
    <t>Banco de Sabadell, S.A.</t>
  </si>
  <si>
    <t>Borsa Italiana</t>
  </si>
  <si>
    <t>Australian Dollar</t>
  </si>
  <si>
    <t>AUD</t>
  </si>
  <si>
    <t>Baa1</t>
  </si>
  <si>
    <t>BBB+</t>
  </si>
  <si>
    <t>Tier 1</t>
  </si>
  <si>
    <t>Banco Santander, S.A.</t>
  </si>
  <si>
    <t>Brazil Stock Exchange</t>
  </si>
  <si>
    <t>Aruban Florin</t>
  </si>
  <si>
    <t>AWG</t>
  </si>
  <si>
    <t>Baa2</t>
  </si>
  <si>
    <t>BBB</t>
  </si>
  <si>
    <t>Additional Tier 1 (AT1)</t>
  </si>
  <si>
    <t>Banco Santander, S.A. (Corporate &amp; Investment Banking)</t>
  </si>
  <si>
    <t>Euronext Amsterdam</t>
  </si>
  <si>
    <t>Azerbaijanian Manat</t>
  </si>
  <si>
    <t>AZN</t>
  </si>
  <si>
    <t>Baa3</t>
  </si>
  <si>
    <t>BBB-</t>
  </si>
  <si>
    <t>Tier 2</t>
  </si>
  <si>
    <t>Bank of America Corporation</t>
  </si>
  <si>
    <t>Euronext Brussels</t>
  </si>
  <si>
    <t>Convertible Mark</t>
  </si>
  <si>
    <t>BAM</t>
  </si>
  <si>
    <t>Ba1</t>
  </si>
  <si>
    <t>BB+</t>
  </si>
  <si>
    <t>Tier 3</t>
  </si>
  <si>
    <t>Bank of Montreal</t>
  </si>
  <si>
    <t>Euronext Dublin</t>
  </si>
  <si>
    <t>Barbados Dollar</t>
  </si>
  <si>
    <t>BBD</t>
  </si>
  <si>
    <t>Ba2</t>
  </si>
  <si>
    <t>BB</t>
  </si>
  <si>
    <t>Covered Bond</t>
  </si>
  <si>
    <t>Bank of Montreal Europe plc</t>
  </si>
  <si>
    <t>Euronext Lisbon</t>
  </si>
  <si>
    <t>Taka</t>
  </si>
  <si>
    <t>BDT</t>
  </si>
  <si>
    <t>Ba3</t>
  </si>
  <si>
    <t>BB-</t>
  </si>
  <si>
    <t>Mezzanine</t>
  </si>
  <si>
    <t>Bank of Taiwan</t>
  </si>
  <si>
    <t>Euronext Paris</t>
  </si>
  <si>
    <t>Bulgarian Lev</t>
  </si>
  <si>
    <t>BGN</t>
  </si>
  <si>
    <t>B1</t>
  </si>
  <si>
    <t>B+</t>
  </si>
  <si>
    <t>Floating-rate Bond</t>
  </si>
  <si>
    <t>Barclays Bank Ireland PLC</t>
  </si>
  <si>
    <t>Frankfurt Stock Exchange</t>
  </si>
  <si>
    <t>Bahraini Dinar</t>
  </si>
  <si>
    <t>BHD</t>
  </si>
  <si>
    <t>B2</t>
  </si>
  <si>
    <t>B</t>
  </si>
  <si>
    <t>Hybrid Bond</t>
  </si>
  <si>
    <t>Barclays Investment Bank</t>
  </si>
  <si>
    <t>Hong Kong Exchange</t>
  </si>
  <si>
    <t>Burundi Franc</t>
  </si>
  <si>
    <t>BIF</t>
  </si>
  <si>
    <t>B3</t>
  </si>
  <si>
    <t>B-</t>
  </si>
  <si>
    <t>Index-linked Bond</t>
  </si>
  <si>
    <t>Barclays PLC</t>
  </si>
  <si>
    <t>Japan Exchange Group</t>
  </si>
  <si>
    <t>Bermudian Dollar</t>
  </si>
  <si>
    <t>BMD</t>
  </si>
  <si>
    <t>Caa1</t>
  </si>
  <si>
    <t>CCC+</t>
  </si>
  <si>
    <t>CCC</t>
  </si>
  <si>
    <t>Bayerische Landesbank</t>
  </si>
  <si>
    <t>Johannesburg Stock Exchange</t>
  </si>
  <si>
    <t>Brunei Dollar</t>
  </si>
  <si>
    <t>BND</t>
  </si>
  <si>
    <t>Caa2</t>
  </si>
  <si>
    <t>CC</t>
  </si>
  <si>
    <t>N/A</t>
  </si>
  <si>
    <t>BNP Paribas S.A.</t>
  </si>
  <si>
    <t>Korea Exchange</t>
  </si>
  <si>
    <t>Boliviano</t>
  </si>
  <si>
    <t>BOB</t>
  </si>
  <si>
    <t>Caa3</t>
  </si>
  <si>
    <t>CCC-</t>
  </si>
  <si>
    <t>C</t>
  </si>
  <si>
    <t>BofA Securities Europe S.A.</t>
  </si>
  <si>
    <t>London Stock Exchange</t>
  </si>
  <si>
    <t>Mvdol</t>
  </si>
  <si>
    <t>BOV</t>
  </si>
  <si>
    <t>Ca</t>
  </si>
  <si>
    <t>D</t>
  </si>
  <si>
    <t>BofA Securities, Inc.</t>
  </si>
  <si>
    <t>Luxembourg Stock Exchange</t>
  </si>
  <si>
    <t>Brazilian Real</t>
  </si>
  <si>
    <t>BRL</t>
  </si>
  <si>
    <t>CaixaBank, S.A.</t>
  </si>
  <si>
    <t>Mexico Stock Exchange</t>
  </si>
  <si>
    <t>Bahamian Dollar</t>
  </si>
  <si>
    <t>BSD</t>
  </si>
  <si>
    <t>Cathay United Bank</t>
  </si>
  <si>
    <t>Nasdaq</t>
  </si>
  <si>
    <t>Ngultrum</t>
  </si>
  <si>
    <t>BTN</t>
  </si>
  <si>
    <t>CIBC World Markets plc</t>
  </si>
  <si>
    <t>Nigerian Stock Exchange</t>
  </si>
  <si>
    <t>Pula</t>
  </si>
  <si>
    <t>BWP</t>
  </si>
  <si>
    <t>Citigroup Global Markets Europe AG</t>
  </si>
  <si>
    <t>Oslo Bors</t>
  </si>
  <si>
    <t>Belarussian Ruble</t>
  </si>
  <si>
    <t>BYN</t>
  </si>
  <si>
    <t>Citigroup Global Markets Inc.</t>
  </si>
  <si>
    <t>Oslo Stock Exchange</t>
  </si>
  <si>
    <t>Belize Dollar</t>
  </si>
  <si>
    <t>BZD</t>
  </si>
  <si>
    <t>Citigroup Inc.</t>
  </si>
  <si>
    <t>Santiago Stock Exchange</t>
  </si>
  <si>
    <t>Canadian Dollar</t>
  </si>
  <si>
    <t>CAD</t>
  </si>
  <si>
    <t>Commerzbank AG</t>
  </si>
  <si>
    <t>Shanghai Stock Exchange</t>
  </si>
  <si>
    <t>Congolese Franc</t>
  </si>
  <si>
    <t>CDF</t>
  </si>
  <si>
    <t>Coöperatieve Rabobank U.A.</t>
  </si>
  <si>
    <t>Singapore Stock Exchange</t>
  </si>
  <si>
    <t>WIR Euro</t>
  </si>
  <si>
    <t>CHE</t>
  </si>
  <si>
    <t>Crédit Agricole Corporate and Investment Bank</t>
  </si>
  <si>
    <t>Stockholm Stock Exchange</t>
  </si>
  <si>
    <t>Swiss Franc</t>
  </si>
  <si>
    <t>CHF</t>
  </si>
  <si>
    <t>Crédit Agricole S.A.</t>
  </si>
  <si>
    <t>Swiss Stock Exchange</t>
  </si>
  <si>
    <t>WIR Franc</t>
  </si>
  <si>
    <t>CHW</t>
  </si>
  <si>
    <t>Crédit Industriel et Commercial</t>
  </si>
  <si>
    <t>Taipei Exchange</t>
  </si>
  <si>
    <t>Unidad de Fomento</t>
  </si>
  <si>
    <t>CLF</t>
  </si>
  <si>
    <t>Credit Suisse Group AG</t>
  </si>
  <si>
    <t>The International Stock Exchange</t>
  </si>
  <si>
    <t>Chilean Peso</t>
  </si>
  <si>
    <t>CLP</t>
  </si>
  <si>
    <t>CTBC Bank Co., Ltd.</t>
  </si>
  <si>
    <t>Toronto Stock Exchange</t>
  </si>
  <si>
    <t>Yuan Renminbi</t>
  </si>
  <si>
    <t>CNY</t>
  </si>
  <si>
    <t>Daiwa Capital Markets Europe Limited</t>
  </si>
  <si>
    <t>Vienna Exchange</t>
  </si>
  <si>
    <t>Colombian Peso</t>
  </si>
  <si>
    <t>COP</t>
  </si>
  <si>
    <t>Danske Bank A/S</t>
  </si>
  <si>
    <t>Unidad de Valor Real</t>
  </si>
  <si>
    <t>COU</t>
  </si>
  <si>
    <t>DekaBank Deutsche Girozentrale</t>
  </si>
  <si>
    <t>Costa Rican Colon</t>
  </si>
  <si>
    <t>CRC</t>
  </si>
  <si>
    <t>Deutsche Bank AG</t>
  </si>
  <si>
    <t>Peso Convertible</t>
  </si>
  <si>
    <t>CUC</t>
  </si>
  <si>
    <t>DNB Bank ASA</t>
  </si>
  <si>
    <t>Cuban Peso</t>
  </si>
  <si>
    <t>CUP</t>
  </si>
  <si>
    <t>DNB Bank ASA (Sweden Branch)</t>
  </si>
  <si>
    <t>Cabo Verde Escudo</t>
  </si>
  <si>
    <t>CVE</t>
  </si>
  <si>
    <t>DNB Markets (Sweden)</t>
  </si>
  <si>
    <t>Czech Koruna</t>
  </si>
  <si>
    <t>CZK</t>
  </si>
  <si>
    <t>DNB Markets, a part of DNB Bank ASA</t>
  </si>
  <si>
    <t>Djibouti Franc</t>
  </si>
  <si>
    <t>DJF</t>
  </si>
  <si>
    <t>DZ Bank AG Deutsche Zentral-Genossenschaftsbank</t>
  </si>
  <si>
    <t>Danish Krone</t>
  </si>
  <si>
    <t>DKK</t>
  </si>
  <si>
    <t>E. SUN Commercial Bank Ltd.</t>
  </si>
  <si>
    <t>Dominican Peso</t>
  </si>
  <si>
    <t>DOP</t>
  </si>
  <si>
    <t>Erste Group Bank AG</t>
  </si>
  <si>
    <t>Algerian Dinar</t>
  </si>
  <si>
    <t>DZD</t>
  </si>
  <si>
    <t>Goldman Sachs Bank Europe SE</t>
  </si>
  <si>
    <t>Egyptian Pound</t>
  </si>
  <si>
    <t>EGP</t>
  </si>
  <si>
    <t>Goldman Sachs International</t>
  </si>
  <si>
    <t>Nakfa</t>
  </si>
  <si>
    <t>ERN</t>
  </si>
  <si>
    <t>HSBC Continental Europe S.A.</t>
  </si>
  <si>
    <t>Ethiopian Birr</t>
  </si>
  <si>
    <t>ETB</t>
  </si>
  <si>
    <t>HSBC France</t>
  </si>
  <si>
    <t>Euro</t>
  </si>
  <si>
    <t>EUR</t>
  </si>
  <si>
    <t>HSBC Holdings plc</t>
  </si>
  <si>
    <t>Fiji Dollar</t>
  </si>
  <si>
    <t>FJD</t>
  </si>
  <si>
    <t>Hypo-Bank Burgenland AG</t>
  </si>
  <si>
    <t>Falkland Islands Pound</t>
  </si>
  <si>
    <t>FKP</t>
  </si>
  <si>
    <t>ING Group</t>
  </si>
  <si>
    <t>Pound Sterling</t>
  </si>
  <si>
    <t>GBP</t>
  </si>
  <si>
    <t>Intesa Sanpaolo S.p.A.</t>
  </si>
  <si>
    <t>Lari</t>
  </si>
  <si>
    <t>GEL</t>
  </si>
  <si>
    <t>J&amp;E Davy Unlimited Company</t>
  </si>
  <si>
    <t>Ghana Cedi</t>
  </si>
  <si>
    <t>GHS</t>
  </si>
  <si>
    <t>J.P. Morgan AG</t>
  </si>
  <si>
    <t>Gibraltar Pound</t>
  </si>
  <si>
    <t>GIP</t>
  </si>
  <si>
    <t>J.P. Morgan Securities LLC</t>
  </si>
  <si>
    <t>Dalasi</t>
  </si>
  <si>
    <t>GMD</t>
  </si>
  <si>
    <t>Jefferies International Limited</t>
  </si>
  <si>
    <t>Guinea Franc</t>
  </si>
  <si>
    <t>GNF</t>
  </si>
  <si>
    <t>JPMorgan Chase &amp; Co.</t>
  </si>
  <si>
    <t>Quetzal</t>
  </si>
  <si>
    <t>GTQ</t>
  </si>
  <si>
    <t>JPMorgan Securities Europe SE</t>
  </si>
  <si>
    <t>Guyana Dollar</t>
  </si>
  <si>
    <t>GYD</t>
  </si>
  <si>
    <t>KBC Group NV</t>
  </si>
  <si>
    <t>Hong Kong Dollar</t>
  </si>
  <si>
    <t>HKD</t>
  </si>
  <si>
    <t>KGI Securities Co., Ltd.</t>
  </si>
  <si>
    <t>Lempira</t>
  </si>
  <si>
    <t>HNL</t>
  </si>
  <si>
    <t>Landesbank Baden-Württemberg</t>
  </si>
  <si>
    <t>Gourde</t>
  </si>
  <si>
    <t>HTG</t>
  </si>
  <si>
    <t>Lloyds Bank Corporate Markets</t>
  </si>
  <si>
    <t>Forint</t>
  </si>
  <si>
    <t>HUF</t>
  </si>
  <si>
    <t>Lloyds Banking Group plc</t>
  </si>
  <si>
    <t>Rupiah</t>
  </si>
  <si>
    <t>IDR</t>
  </si>
  <si>
    <t>Mediobanca - Banca di Credito Finanziario S.p.A.</t>
  </si>
  <si>
    <t>New Israeli Sheqel</t>
  </si>
  <si>
    <t>ILS</t>
  </si>
  <si>
    <t>Mega International Commercial Bank Co., Ltd.</t>
  </si>
  <si>
    <t>Indian Rupee</t>
  </si>
  <si>
    <t>INR</t>
  </si>
  <si>
    <t>Merrill Lynch International</t>
  </si>
  <si>
    <t>Iraqi Dinar</t>
  </si>
  <si>
    <t>IQD</t>
  </si>
  <si>
    <t>Mitsubishi UFJ Financial Group, Inc.</t>
  </si>
  <si>
    <t>Iranian Rial</t>
  </si>
  <si>
    <t>IRR</t>
  </si>
  <si>
    <t>Mitsubishi UFJ Financial Group, Inc. (Securities Europe)</t>
  </si>
  <si>
    <t>Iceland Krona</t>
  </si>
  <si>
    <t>ISK</t>
  </si>
  <si>
    <t>Mizuho International plc</t>
  </si>
  <si>
    <t>Jamaican Dollar</t>
  </si>
  <si>
    <t>JMD</t>
  </si>
  <si>
    <t>Mizuho Securities Co., Ltd.</t>
  </si>
  <si>
    <t>Jordanian Dinar</t>
  </si>
  <si>
    <t>JOD</t>
  </si>
  <si>
    <t>Mizuho Securities Europe GmbH</t>
  </si>
  <si>
    <t>Yen</t>
  </si>
  <si>
    <t>JPY</t>
  </si>
  <si>
    <t>Morgan Stanley</t>
  </si>
  <si>
    <t>Kenyan Shilling</t>
  </si>
  <si>
    <t>KES</t>
  </si>
  <si>
    <t>Morgan Stanley &amp; Co. LLC</t>
  </si>
  <si>
    <t>Som</t>
  </si>
  <si>
    <t>KGS</t>
  </si>
  <si>
    <t>Morgan Stanley Europe SE</t>
  </si>
  <si>
    <t>Riel</t>
  </si>
  <si>
    <t>KHR</t>
  </si>
  <si>
    <t>Natixis S.A.</t>
  </si>
  <si>
    <t>Comoro Franc</t>
  </si>
  <si>
    <t>KMF</t>
  </si>
  <si>
    <t>NatWest Group plc</t>
  </si>
  <si>
    <t>North Korean Won</t>
  </si>
  <si>
    <t>KPW</t>
  </si>
  <si>
    <t>NatWest Markets N.V.</t>
  </si>
  <si>
    <t>Won</t>
  </si>
  <si>
    <t>KRW</t>
  </si>
  <si>
    <t>NatWest Markets Plc</t>
  </si>
  <si>
    <t>Kuwaiti Dinar</t>
  </si>
  <si>
    <t>KWD</t>
  </si>
  <si>
    <t>Nomura Financial Products Europe GmbH</t>
  </si>
  <si>
    <t>Cayman Islands Dollar</t>
  </si>
  <si>
    <t>KYD</t>
  </si>
  <si>
    <t>Nomura Holdings, Inc.</t>
  </si>
  <si>
    <t>Tenge</t>
  </si>
  <si>
    <t>KZT</t>
  </si>
  <si>
    <t>Norddeutsche Landesbank Girozentrale</t>
  </si>
  <si>
    <t>Kip</t>
  </si>
  <si>
    <t>LAK</t>
  </si>
  <si>
    <t>Nordea Bank Abp</t>
  </si>
  <si>
    <t>Lebanese Pound</t>
  </si>
  <si>
    <t>LBP</t>
  </si>
  <si>
    <t>President Securities Corporation</t>
  </si>
  <si>
    <t>Sri Lanka Rupee</t>
  </si>
  <si>
    <t>LKR</t>
  </si>
  <si>
    <t>Raiffeisen Bank International AG</t>
  </si>
  <si>
    <t>Liberian Dollar</t>
  </si>
  <si>
    <t>LRD</t>
  </si>
  <si>
    <t>RBC Europe Limited</t>
  </si>
  <si>
    <t>Loti</t>
  </si>
  <si>
    <t>LSL</t>
  </si>
  <si>
    <t>Royal Bank of Canada</t>
  </si>
  <si>
    <t>Libyan Dinar</t>
  </si>
  <si>
    <t>LYD</t>
  </si>
  <si>
    <t>Royal Bank of Canada (Capital Markets Division)</t>
  </si>
  <si>
    <t>Moroccan Dirham</t>
  </si>
  <si>
    <t>MAD</t>
  </si>
  <si>
    <t>Royal Bank of Canada (Europe)</t>
  </si>
  <si>
    <t>Moldovan Leu</t>
  </si>
  <si>
    <t>MDL</t>
  </si>
  <si>
    <t>SinoPac Securities Corporation</t>
  </si>
  <si>
    <t>Malagasy Ariary</t>
  </si>
  <si>
    <t>MGA</t>
  </si>
  <si>
    <t>Skandinaviska Enskilda Banken AB</t>
  </si>
  <si>
    <t>Denar</t>
  </si>
  <si>
    <t>MKD</t>
  </si>
  <si>
    <t>Skandinaviska Enskilda Banken AB (publ)</t>
  </si>
  <si>
    <t>Kyat</t>
  </si>
  <si>
    <t>MMK</t>
  </si>
  <si>
    <t>SMBC Nikko Capital Markets Europe GmbH</t>
  </si>
  <si>
    <t>Tugrik</t>
  </si>
  <si>
    <t>MNT</t>
  </si>
  <si>
    <t>SMBC Nikko Securities Inc.</t>
  </si>
  <si>
    <t>Pataca</t>
  </si>
  <si>
    <t>MOP</t>
  </si>
  <si>
    <t>Société Générale S.A.</t>
  </si>
  <si>
    <t>Ouguiya</t>
  </si>
  <si>
    <t>MRU</t>
  </si>
  <si>
    <t>Standard Chartered PLC</t>
  </si>
  <si>
    <t>Mauritius Rupee</t>
  </si>
  <si>
    <t>MUR</t>
  </si>
  <si>
    <t>Sumitomo Mitsui Banking Corporation</t>
  </si>
  <si>
    <t>Rufiyaa</t>
  </si>
  <si>
    <t>MVR</t>
  </si>
  <si>
    <t>Sumitomo Mitsui Banking Corporation (Europe)</t>
  </si>
  <si>
    <t>Kwacha</t>
  </si>
  <si>
    <t>MWK</t>
  </si>
  <si>
    <t>Svenska Handelsbanken AB</t>
  </si>
  <si>
    <t>Mexican Peso</t>
  </si>
  <si>
    <t>MXN</t>
  </si>
  <si>
    <t>Swedbank AB (publ)</t>
  </si>
  <si>
    <t>Mexican Unidad de Inversion (UDI)</t>
  </si>
  <si>
    <t>MXV</t>
  </si>
  <si>
    <t>Taipei Fubon Commercial Bank Co., Ltd. / Yuanta Securities Co., Ltd.</t>
  </si>
  <si>
    <t>Malaysian Ringgit</t>
  </si>
  <si>
    <t>MYR</t>
  </si>
  <si>
    <t>TD Securities (USA) Inc.</t>
  </si>
  <si>
    <t>Mozambique Metical</t>
  </si>
  <si>
    <t>MZN</t>
  </si>
  <si>
    <t>TD Securities Inc.</t>
  </si>
  <si>
    <t>Namibia Dollar</t>
  </si>
  <si>
    <t>NAD</t>
  </si>
  <si>
    <t>The Goldman Sachs Group, Inc.</t>
  </si>
  <si>
    <t>Naira</t>
  </si>
  <si>
    <t>NGN</t>
  </si>
  <si>
    <t>The Shanghai Commercial &amp; Savings Bank Ltd</t>
  </si>
  <si>
    <t>Cordoba Oro</t>
  </si>
  <si>
    <t>NIO</t>
  </si>
  <si>
    <t>The Toronto-Dominion Bank</t>
  </si>
  <si>
    <t>Norwegian Krone</t>
  </si>
  <si>
    <t>NOK</t>
  </si>
  <si>
    <t>UBS AG</t>
  </si>
  <si>
    <t>Nepalese Rupee</t>
  </si>
  <si>
    <t>NPR</t>
  </si>
  <si>
    <t>UBS Europe SE</t>
  </si>
  <si>
    <t>New Zealand Dollar</t>
  </si>
  <si>
    <t>NZD</t>
  </si>
  <si>
    <t>UBS Group AG</t>
  </si>
  <si>
    <t>Rial Omani</t>
  </si>
  <si>
    <t>OMR</t>
  </si>
  <si>
    <t>UniCredit S.p.A.</t>
  </si>
  <si>
    <t>Balboa</t>
  </si>
  <si>
    <t>PAB</t>
  </si>
  <si>
    <t>Wells Fargo Securities, LLC</t>
  </si>
  <si>
    <t>Nuevo Sol</t>
  </si>
  <si>
    <t>PEN</t>
  </si>
  <si>
    <t>Wertpapierhandelsbank GmbH</t>
  </si>
  <si>
    <t>Kina</t>
  </si>
  <si>
    <t>PGK</t>
  </si>
  <si>
    <t>Zürcher Kantonalbank</t>
  </si>
  <si>
    <t>Philippine Peso</t>
  </si>
  <si>
    <t>PHP</t>
  </si>
  <si>
    <t>Pakistan Rupee</t>
  </si>
  <si>
    <t>PKR</t>
  </si>
  <si>
    <t>Zloty</t>
  </si>
  <si>
    <t>PLN</t>
  </si>
  <si>
    <t>Guarani</t>
  </si>
  <si>
    <t>PYG</t>
  </si>
  <si>
    <t>Qatari Rial</t>
  </si>
  <si>
    <t>QAR</t>
  </si>
  <si>
    <t>Romanian Leu</t>
  </si>
  <si>
    <t>RON</t>
  </si>
  <si>
    <t>Serbian Dinar</t>
  </si>
  <si>
    <t>RSD</t>
  </si>
  <si>
    <t>Russian Ruble</t>
  </si>
  <si>
    <t>RUB</t>
  </si>
  <si>
    <t>Rwanda Franc</t>
  </si>
  <si>
    <t>RWF</t>
  </si>
  <si>
    <t>Saudi Riyal</t>
  </si>
  <si>
    <t>SAR</t>
  </si>
  <si>
    <t>Solomon Islands Dollar</t>
  </si>
  <si>
    <t>SBD</t>
  </si>
  <si>
    <t>Seychelles Rupee</t>
  </si>
  <si>
    <t>SCR</t>
  </si>
  <si>
    <t>Sudanese Pound</t>
  </si>
  <si>
    <t>SDG</t>
  </si>
  <si>
    <t>Swedish Krona</t>
  </si>
  <si>
    <t>SEK</t>
  </si>
  <si>
    <t>Singapore Dollar</t>
  </si>
  <si>
    <t>SGD</t>
  </si>
  <si>
    <t>Saint Helena Pound</t>
  </si>
  <si>
    <t>SHP</t>
  </si>
  <si>
    <t>Leone</t>
  </si>
  <si>
    <t>SLE</t>
  </si>
  <si>
    <t>Somali Shilling</t>
  </si>
  <si>
    <t>SOS</t>
  </si>
  <si>
    <t>Surinam Dollar</t>
  </si>
  <si>
    <t>SRD</t>
  </si>
  <si>
    <t>South Sudanese Pound</t>
  </si>
  <si>
    <t>SSP</t>
  </si>
  <si>
    <t>Dobra</t>
  </si>
  <si>
    <t>STN</t>
  </si>
  <si>
    <t>El Salvador Colon</t>
  </si>
  <si>
    <t>SVC</t>
  </si>
  <si>
    <t>Syrian Pound</t>
  </si>
  <si>
    <t>SYP</t>
  </si>
  <si>
    <t>Lilangeni</t>
  </si>
  <si>
    <t>SZL</t>
  </si>
  <si>
    <t>Baht</t>
  </si>
  <si>
    <t>THB</t>
  </si>
  <si>
    <t>Somoni</t>
  </si>
  <si>
    <t>TJS</t>
  </si>
  <si>
    <t>Turkmenistan New Manat</t>
  </si>
  <si>
    <t>TMT</t>
  </si>
  <si>
    <t>Tunisian Dinar</t>
  </si>
  <si>
    <t>TND</t>
  </si>
  <si>
    <t>Pa’anga</t>
  </si>
  <si>
    <t>TOP</t>
  </si>
  <si>
    <t>Turkish Lira</t>
  </si>
  <si>
    <t>TRY</t>
  </si>
  <si>
    <t>Trinidad and Tobago Dollar</t>
  </si>
  <si>
    <t>TTD</t>
  </si>
  <si>
    <t>New Taiwan Dollar</t>
  </si>
  <si>
    <t>TWD</t>
  </si>
  <si>
    <t>Tanzanian Shilling</t>
  </si>
  <si>
    <t>TZS</t>
  </si>
  <si>
    <t>Hryvnia</t>
  </si>
  <si>
    <t>UAH</t>
  </si>
  <si>
    <t>Uganda Shilling</t>
  </si>
  <si>
    <t>UGX</t>
  </si>
  <si>
    <t>US Dollar</t>
  </si>
  <si>
    <t>USD</t>
  </si>
  <si>
    <t>US Dollar (Next day)</t>
  </si>
  <si>
    <t>USN</t>
  </si>
  <si>
    <t>Uruguay Peso en Unidades Indexadas (URUIURUI)</t>
  </si>
  <si>
    <t>UYI</t>
  </si>
  <si>
    <t>Peso Uruguayo</t>
  </si>
  <si>
    <t>UYU</t>
  </si>
  <si>
    <t>Uzbekistan Sum</t>
  </si>
  <si>
    <t>UZS</t>
  </si>
  <si>
    <t>Bolivar</t>
  </si>
  <si>
    <t>VED</t>
  </si>
  <si>
    <t>VEF</t>
  </si>
  <si>
    <t>Dong</t>
  </si>
  <si>
    <t>VND</t>
  </si>
  <si>
    <t>Vatu</t>
  </si>
  <si>
    <t>VUV</t>
  </si>
  <si>
    <t>Tala</t>
  </si>
  <si>
    <t>WST</t>
  </si>
  <si>
    <t>CFA Franc BEAC</t>
  </si>
  <si>
    <t>XAF</t>
  </si>
  <si>
    <t>East Caribbean Dollar</t>
  </si>
  <si>
    <t>XCD</t>
  </si>
  <si>
    <t>SDR (Special Drawing Right)</t>
  </si>
  <si>
    <t>XDR</t>
  </si>
  <si>
    <t>CFA Franc BCEAO</t>
  </si>
  <si>
    <t>XOF</t>
  </si>
  <si>
    <t>CFP Franc</t>
  </si>
  <si>
    <t>XPF</t>
  </si>
  <si>
    <t>Sucre</t>
  </si>
  <si>
    <t>XSU</t>
  </si>
  <si>
    <t>ADB Unit of Account</t>
  </si>
  <si>
    <t>XUA</t>
  </si>
  <si>
    <t>Yemeni Rial</t>
  </si>
  <si>
    <t>YER</t>
  </si>
  <si>
    <t>Rand</t>
  </si>
  <si>
    <t>ZAR</t>
  </si>
  <si>
    <t>Zambian Kwacha</t>
  </si>
  <si>
    <t>ZMW</t>
  </si>
  <si>
    <t>Zimbabwe Dollar</t>
  </si>
  <si>
    <t>ZWL</t>
  </si>
  <si>
    <t>Version</t>
  </si>
  <si>
    <t>Change log</t>
  </si>
  <si>
    <t>Date</t>
  </si>
  <si>
    <t>V1.0</t>
  </si>
  <si>
    <t>First version</t>
  </si>
  <si>
    <t>NA</t>
  </si>
  <si>
    <t>V1.1</t>
  </si>
  <si>
    <t>Fixes to macros</t>
  </si>
  <si>
    <t>V1.2</t>
  </si>
  <si>
    <t>- Expansion of syndicate rows to 20 rows as there have been instances where there were 12+ syndicate members.
- Addition of hybrid, index-linked and floating-rate notes to the list of 'status of the notes' dropdown
- Removal of data validation (was set to a value between 0 and 1) for coupon rates to accommodate special cases such as seen at floating-rate bonds</t>
  </si>
  <si>
    <t>V1.4</t>
  </si>
  <si>
    <t>- Added 'tap' row in data collection to better capture tranches of the same bond, avoiding double issuance.
- Replaced commas with semicolons for syndicate collection to separate them more easily using PowerQuery (and avoiding the risk of splitting e.g. Barclays, Ltd. into two). 
- Updated list of syndicate members</t>
  </si>
  <si>
    <t>ISIN</t>
  </si>
  <si>
    <t>Tap</t>
  </si>
  <si>
    <t>Bond Type</t>
  </si>
  <si>
    <t>Issuer</t>
  </si>
  <si>
    <t>Bond size (in millions)</t>
  </si>
  <si>
    <t>Coupon</t>
  </si>
  <si>
    <t>Issuance Date (DD/MM/YYYY)</t>
  </si>
  <si>
    <t>Maturity Date (DD/MM/YYYY)</t>
  </si>
  <si>
    <t>Exchange listing</t>
  </si>
  <si>
    <t>Paying Agent</t>
  </si>
  <si>
    <t>Status of the notes</t>
  </si>
  <si>
    <t>Method of Distribution</t>
  </si>
  <si>
    <t>Source</t>
  </si>
  <si>
    <t>Comment</t>
  </si>
  <si>
    <t>Bond size</t>
  </si>
  <si>
    <t>Issuance Date</t>
  </si>
  <si>
    <t>Maturity Date</t>
  </si>
  <si>
    <t>Status of Notes</t>
  </si>
  <si>
    <t>CA30216BGV86</t>
  </si>
  <si>
    <t>Green Bond</t>
  </si>
  <si>
    <t>Export Development Canada</t>
  </si>
  <si>
    <t>&lt;enter paying agent if applicable</t>
  </si>
  <si>
    <t>&lt;enter rating&gt;</t>
  </si>
  <si>
    <t>&lt;syndicated/non-syndicated/N/A&gt;</t>
  </si>
  <si>
    <t>https://cbonds.com/bonds/343695/
https://www.edc.ca/content/dam/edc/en/corporate/corporate-reports/annual-reports/edc-2022-annual-report.pdf</t>
  </si>
  <si>
    <t>&lt;enter comment if applicable&gt;</t>
  </si>
  <si>
    <t>CA30216BHL95</t>
  </si>
  <si>
    <t>Syndicated</t>
  </si>
  <si>
    <t>CIBC World Markets plc; TD Securities (USA) Inc.; RBC Capital Markets</t>
  </si>
  <si>
    <t>https://cbonds.com/bonds/576907/
https://www.edc.ca/content/dam/edc/en/corporate/corporate-reports/annual-reports/edc-2022-annual-report.pdf</t>
  </si>
  <si>
    <t>Green Bond 1</t>
  </si>
  <si>
    <t>&lt;enter status of note&gt;</t>
  </si>
  <si>
    <t>https://www.edc.ca/content/dam/edc/en/non-premium/green_asset_portfolio_reporting.pdf?utm_source=chatgpt.com</t>
  </si>
  <si>
    <t>Green Bond 2</t>
  </si>
  <si>
    <t>US30216BKF84</t>
  </si>
  <si>
    <t xml:space="preserve">Export Development Canada </t>
  </si>
  <si>
    <t>https://www.edc.ca/content/dam/edc/en/corporate/corporate-reports/annual-reports/edc-2024-sustainable-bond-impact-report.pdf</t>
  </si>
  <si>
    <t>Green Bond 3</t>
  </si>
  <si>
    <t xml:space="preserve">Green Bond </t>
  </si>
  <si>
    <t>https://www.edc.ca/content/dam/edc/en/non-premium/green_bond_impact_report_2018.pdf</t>
  </si>
  <si>
    <t>XS2678232781</t>
  </si>
  <si>
    <t>Sustainability Bond</t>
  </si>
  <si>
    <t>TSK B</t>
  </si>
  <si>
    <t>&lt;enter date in dd/mm/yyyy&gt;</t>
  </si>
  <si>
    <t>https://www.tskb.com.tr/uploads/file/allocation-impact-reporting-2020.pdf
https://cbonds.com/bonds/1520335/?utm_source=chatgpt.com
https://bondblox.com/bond-market/Turkiye-Sinai-Kalkinma-Bankasi-As-XS2678232781?utm_source=chatgpt.com
https://www.intellinews.com/turkey-s-mersin-port-sells-600mn-of-five-year-eurobonds-at-8-25-coupon-301209/?utm_source=chatgpt.com</t>
  </si>
  <si>
    <t>Maturiti month and year have been provided: October 2028</t>
  </si>
  <si>
    <t>XS1412393172</t>
  </si>
  <si>
    <t>TSKB</t>
  </si>
  <si>
    <t>https://cbonds.com/bonds/218257/</t>
  </si>
  <si>
    <t>XS1584113184</t>
  </si>
  <si>
    <t>&lt;enter link&gt;</t>
  </si>
  <si>
    <t>Status of the notes: Subordinated Unsecured</t>
  </si>
  <si>
    <t>XS2281369301</t>
  </si>
  <si>
    <t>https://cbonds.com/bonds/914963/</t>
  </si>
  <si>
    <t>TERM SHEET COLLECTION TEMPLATE</t>
  </si>
  <si>
    <t>Name</t>
  </si>
  <si>
    <t>Angela Wanjiku</t>
  </si>
  <si>
    <t>&lt;enter bond ISIN&gt;</t>
  </si>
  <si>
    <t>&lt;enter tap number&gt;</t>
  </si>
  <si>
    <t>&lt;enter bond type&gt;</t>
  </si>
  <si>
    <t>&lt;enter issuer name&gt;</t>
  </si>
  <si>
    <t>&lt;enter bond value in millions&gt;</t>
  </si>
  <si>
    <t>&lt;ISO currency&gt;</t>
  </si>
  <si>
    <t>&lt;enter coupon in %&gt;</t>
  </si>
  <si>
    <t>Status of the Notes</t>
  </si>
  <si>
    <t>&lt;Enter name of syndicate member&gt;</t>
  </si>
  <si>
    <t>LIST OF ISINS</t>
  </si>
  <si>
    <t>List of ISINs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</si>
</sst>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1">
    <numFmt numFmtId="164" formatCode="#,##0.000%"/>
  </numFmts>
  <fonts count="8" x14ac:knownFonts="1">
    <font>
      <sz val="11"/>
      <color theme="1"/>
      <name val="Calibri"/>
      <family val="2"/>
      <scheme val="minor"/>
    </font>
    <font>
      <b/>
      <sz val="11"/>
      <color rgb="FF000000"/>
      <name val="Avenir Next LT Pro"/>
      <family val="2"/>
    </font>
    <font>
      <sz val="11"/>
      <color rgb="FF000000"/>
      <name val="Avenir Next LT Pro"/>
      <family val="2"/>
    </font>
    <font>
      <b/>
      <sz val="11"/>
      <color rgb="FF000000"/>
      <name val="Aptos Narrow"/>
      <family val="2"/>
    </font>
    <font>
      <sz val="11"/>
      <color theme="1"/>
      <name val="Calibri"/>
      <family val="2"/>
    </font>
    <font>
      <b/>
      <sz val="11"/>
      <color rgb="FFffffff"/>
      <name val="Avenir Next LT Pro"/>
      <family val="2"/>
    </font>
    <font>
      <sz val="26"/>
      <color rgb="FFffffff"/>
      <name val="GT Walsheim Pro Bold"/>
      <family val="2"/>
    </font>
    <font>
      <b/>
      <sz val="26"/>
      <color rgb="FFffffff"/>
      <name val="Poppins"/>
      <family val="2"/>
    </font>
  </fonts>
  <fills count="7">
    <fill>
      <patternFill patternType="none"/>
    </fill>
    <fill>
      <patternFill patternType="gray125"/>
    </fill>
    <fill>
      <patternFill patternType="solid">
        <fgColor rgb="FF5b9bd5"/>
      </patternFill>
    </fill>
    <fill>
      <patternFill patternType="solid">
        <fgColor rgb="FF83a98c"/>
      </patternFill>
    </fill>
    <fill>
      <patternFill patternType="solid">
        <fgColor rgb="FF344f51"/>
      </patternFill>
    </fill>
    <fill>
      <patternFill patternType="solid">
        <fgColor rgb="FFffffff"/>
      </patternFill>
    </fill>
    <fill>
      <patternFill patternType="solid">
        <fgColor rgb="FFd9d9d9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c6c6c6"/>
      </bottom>
      <diagonal/>
    </border>
    <border>
      <left style="thin">
        <color rgb="FF000000"/>
      </left>
      <right style="thin">
        <color rgb="FF000000"/>
      </right>
      <top style="thin">
        <color rgb="FFc6c6c6"/>
      </top>
      <bottom style="thin">
        <color rgb="FFc6c6c6"/>
      </bottom>
      <diagonal/>
    </border>
    <border>
      <left style="thin">
        <color rgb="FF000000"/>
      </left>
      <right style="thin">
        <color rgb="FF000000"/>
      </right>
      <top style="thin">
        <color rgb="FFc6c6c6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</borders>
  <cellStyleXfs count="1">
    <xf numFmtId="0" fontId="0" fillId="0" borderId="0"/>
  </cellStyleXfs>
  <cellXfs count="48">
    <xf xfId="0" numFmtId="0" borderId="0" fontId="0" fillId="0"/>
    <xf xfId="0" numFmtId="0" borderId="0" fontId="0" fillId="0" applyAlignment="1">
      <alignment horizontal="general"/>
    </xf>
    <xf xfId="0" numFmtId="0" borderId="1" applyBorder="1" fontId="1" applyFont="1" fillId="2" applyFill="1" applyAlignment="1">
      <alignment horizontal="left"/>
    </xf>
    <xf xfId="0" numFmtId="0" borderId="2" applyBorder="1" fontId="1" applyFont="1" fillId="2" applyFill="1" applyAlignment="1">
      <alignment horizontal="left"/>
    </xf>
    <xf xfId="0" numFmtId="0" borderId="1" applyBorder="1" fontId="2" applyFont="1" fillId="0" applyAlignment="1">
      <alignment horizontal="left"/>
    </xf>
    <xf xfId="0" numFmtId="0" borderId="0" fontId="0" fillId="0" applyAlignment="1">
      <alignment horizontal="general"/>
    </xf>
    <xf xfId="0" numFmtId="0" borderId="0" fontId="0" fillId="0" applyAlignment="1">
      <alignment horizontal="general" wrapText="1"/>
    </xf>
    <xf xfId="0" numFmtId="14" applyNumberFormat="1" borderId="0" fontId="0" fillId="0" applyAlignment="1">
      <alignment horizontal="general"/>
    </xf>
    <xf xfId="0" numFmtId="0" borderId="1" applyBorder="1" fontId="3" applyFont="1" fillId="3" applyFill="1" applyAlignment="1">
      <alignment horizontal="left"/>
    </xf>
    <xf xfId="0" numFmtId="0" borderId="1" applyBorder="1" fontId="3" applyFont="1" fillId="3" applyFill="1" applyAlignment="1">
      <alignment horizontal="left" wrapText="1"/>
    </xf>
    <xf xfId="0" numFmtId="14" applyNumberFormat="1" borderId="1" applyBorder="1" fontId="3" applyFont="1" fillId="3" applyFill="1" applyAlignment="1">
      <alignment horizontal="left"/>
    </xf>
    <xf xfId="0" numFmtId="0" borderId="1" applyBorder="1" fontId="4" applyFont="1" fillId="0" applyAlignment="1">
      <alignment horizontal="left"/>
    </xf>
    <xf xfId="0" numFmtId="0" borderId="1" applyBorder="1" fontId="4" applyFont="1" fillId="0" applyAlignment="1">
      <alignment horizontal="left" wrapText="1"/>
    </xf>
    <xf xfId="0" numFmtId="14" applyNumberFormat="1" borderId="1" applyBorder="1" fontId="4" applyFont="1" fillId="0" applyAlignment="1">
      <alignment horizontal="left"/>
    </xf>
    <xf xfId="0" numFmtId="0" borderId="0" fontId="0" fillId="0" applyAlignment="1">
      <alignment horizontal="general" wrapText="1"/>
    </xf>
    <xf xfId="0" numFmtId="14" applyNumberFormat="1" borderId="0" fontId="0" fillId="0" applyAlignment="1">
      <alignment horizontal="general"/>
    </xf>
    <xf xfId="0" numFmtId="3" applyNumberFormat="1" borderId="0" fontId="0" fillId="0" applyAlignment="1">
      <alignment horizontal="general"/>
    </xf>
    <xf xfId="0" numFmtId="0" borderId="1" applyBorder="1" fontId="5" applyFont="1" fillId="4" applyFill="1" applyAlignment="1">
      <alignment horizontal="left"/>
    </xf>
    <xf xfId="0" numFmtId="3" applyNumberFormat="1" borderId="1" applyBorder="1" fontId="5" applyFont="1" fillId="4" applyFill="1" applyAlignment="1">
      <alignment horizontal="left"/>
    </xf>
    <xf xfId="0" numFmtId="0" borderId="3" applyBorder="1" fontId="5" applyFont="1" fillId="4" applyFill="1" applyAlignment="1">
      <alignment horizontal="left"/>
    </xf>
    <xf xfId="0" numFmtId="14" applyNumberFormat="1" borderId="4" applyBorder="1" fontId="5" applyFont="1" fillId="4" applyFill="1" applyAlignment="1">
      <alignment horizontal="left"/>
    </xf>
    <xf xfId="0" numFmtId="3" applyNumberFormat="1" borderId="4" applyBorder="1" fontId="5" applyFont="1" fillId="4" applyFill="1" applyAlignment="1">
      <alignment horizontal="left"/>
    </xf>
    <xf xfId="0" numFmtId="3" applyNumberFormat="1" borderId="5" applyBorder="1" fontId="5" applyFont="1" fillId="4" applyFill="1" applyAlignment="1">
      <alignment horizontal="left"/>
    </xf>
    <xf xfId="0" numFmtId="0" borderId="0" fontId="0" fillId="0" applyAlignment="1">
      <alignment horizontal="general"/>
    </xf>
    <xf xfId="0" numFmtId="0" borderId="6" applyBorder="1" fontId="4" applyFont="1" fillId="0" applyAlignment="1">
      <alignment horizontal="left"/>
    </xf>
    <xf xfId="0" numFmtId="3" applyNumberFormat="1" borderId="6" applyBorder="1" fontId="4" applyFont="1" fillId="0" applyAlignment="1">
      <alignment horizontal="right"/>
    </xf>
    <xf xfId="0" numFmtId="14" applyNumberFormat="1" borderId="1" applyBorder="1" fontId="5" applyFont="1" fillId="4" applyFill="1" applyAlignment="1">
      <alignment horizontal="left"/>
    </xf>
    <xf xfId="0" numFmtId="14" applyNumberFormat="1" borderId="6" applyBorder="1" fontId="4" applyFont="1" fillId="0" applyAlignment="1">
      <alignment horizontal="left"/>
    </xf>
    <xf xfId="0" numFmtId="3" applyNumberFormat="1" borderId="0" fontId="0" fillId="0" applyAlignment="1">
      <alignment horizontal="general"/>
    </xf>
    <xf xfId="0" numFmtId="0" borderId="7" applyBorder="1" fontId="4" applyFont="1" fillId="0" applyAlignment="1">
      <alignment horizontal="left"/>
    </xf>
    <xf xfId="0" numFmtId="3" applyNumberFormat="1" borderId="7" applyBorder="1" fontId="4" applyFont="1" fillId="0" applyAlignment="1">
      <alignment horizontal="left"/>
    </xf>
    <xf xfId="0" numFmtId="164" applyNumberFormat="1" borderId="7" applyBorder="1" fontId="4" applyFont="1" fillId="0" applyAlignment="1">
      <alignment horizontal="left"/>
    </xf>
    <xf xfId="0" numFmtId="14" applyNumberFormat="1" borderId="7" applyBorder="1" fontId="4" applyFont="1" fillId="0" applyAlignment="1">
      <alignment horizontal="left"/>
    </xf>
    <xf xfId="0" numFmtId="164" applyNumberFormat="1" borderId="6" applyBorder="1" fontId="4" applyFont="1" fillId="0" applyAlignment="1">
      <alignment horizontal="right"/>
    </xf>
    <xf xfId="0" numFmtId="3" applyNumberFormat="1" borderId="0" fontId="0" fillId="0" applyAlignment="1">
      <alignment horizontal="right"/>
    </xf>
    <xf xfId="0" numFmtId="164" applyNumberFormat="1" borderId="0" fontId="0" fillId="0" applyAlignment="1">
      <alignment horizontal="right"/>
    </xf>
    <xf xfId="0" numFmtId="0" borderId="8" applyBorder="1" fontId="6" applyFont="1" fillId="4" applyFill="1" applyAlignment="1">
      <alignment horizontal="left"/>
    </xf>
    <xf xfId="0" numFmtId="14" applyNumberFormat="1" borderId="8" applyBorder="1" fontId="7" applyFont="1" fillId="4" applyFill="1" applyAlignment="1">
      <alignment horizontal="left"/>
    </xf>
    <xf xfId="0" numFmtId="14" applyNumberFormat="1" borderId="1" applyBorder="1" fontId="2" applyFont="1" fillId="5" applyFill="1" applyAlignment="1">
      <alignment horizontal="left"/>
    </xf>
    <xf xfId="0" numFmtId="14" applyNumberFormat="1" borderId="1" applyBorder="1" fontId="2" applyFont="1" fillId="5" applyFill="1" applyAlignment="1">
      <alignment horizontal="left" wrapText="1"/>
    </xf>
    <xf xfId="0" numFmtId="0" borderId="1" applyBorder="1" fontId="2" applyFont="1" fillId="5" applyFill="1" applyAlignment="1">
      <alignment horizontal="left" wrapText="1"/>
    </xf>
    <xf xfId="0" numFmtId="4" applyNumberFormat="1" borderId="8" applyBorder="1" fontId="2" applyFont="1" fillId="5" applyFill="1" applyAlignment="1">
      <alignment horizontal="right"/>
    </xf>
    <xf xfId="0" numFmtId="0" borderId="1" applyBorder="1" fontId="2" applyFont="1" fillId="6" applyFill="1" applyAlignment="1">
      <alignment horizontal="left"/>
    </xf>
    <xf xfId="0" numFmtId="0" borderId="3" applyBorder="1" fontId="2" applyFont="1" fillId="5" applyFill="1" applyAlignment="1">
      <alignment horizontal="left" wrapText="1"/>
    </xf>
    <xf xfId="0" numFmtId="0" borderId="3" applyBorder="1" fontId="5" applyFont="1" fillId="4" applyFill="1" applyAlignment="1">
      <alignment horizontal="left" vertical="top"/>
    </xf>
    <xf xfId="0" numFmtId="0" borderId="4" applyBorder="1" fontId="5" applyFont="1" fillId="4" applyFill="1" applyAlignment="1">
      <alignment horizontal="left"/>
    </xf>
    <xf xfId="0" numFmtId="0" borderId="5" applyBorder="1" fontId="5" applyFont="1" fillId="4" applyFill="1" applyAlignment="1">
      <alignment horizontal="left"/>
    </xf>
    <xf xfId="0" numFmtId="0" borderId="1" applyBorder="1" fontId="2" applyFont="1" fillId="5" applyFill="1" applyAlignment="1">
      <alignment horizontal="left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worksheets/sheet4.xml" Type="http://schemas.openxmlformats.org/officeDocument/2006/relationships/worksheet" Id="rId4"/><Relationship Target="worksheets/sheet5.xml" Type="http://schemas.openxmlformats.org/officeDocument/2006/relationships/worksheet" Id="rId5"/><Relationship Target="worksheets/sheet6.xml" Type="http://schemas.openxmlformats.org/officeDocument/2006/relationships/worksheet" Id="rId6"/><Relationship Target="sharedStrings.xml" Type="http://schemas.openxmlformats.org/officeDocument/2006/relationships/sharedStrings" Id="rId7"/><Relationship Target="styles.xml" Type="http://schemas.openxmlformats.org/officeDocument/2006/relationships/styles" Id="rId8"/><Relationship Target="theme/theme1.xml" Type="http://schemas.openxmlformats.org/officeDocument/2006/relationships/theme" Id="rId9"/><Relationship Target="vbaProject.bin" Type="http://schemas.microsoft.com/office/2006/relationships/vbaProject" Id="rId10"/></Relationships>
</file>

<file path=xl/tables/table1.xml><?xml version="1.0" encoding="utf-8"?>
<table xmlns="http://schemas.openxmlformats.org/spreadsheetml/2006/main" ref="B1:T11" displayName="Term_Sheets" name="Term_Sheets" id="1" totalsRowShown="0">
  <autoFilter ref="B1:T11"/>
  <tableColumns count="19">
    <tableColumn name="ISIN" id="1"/>
    <tableColumn name="Bond Type" id="2"/>
    <tableColumn name="Issuer" id="3"/>
    <tableColumn name="Bond size" id="4"/>
    <tableColumn name="Currency" id="5"/>
    <tableColumn name="Coupon" id="6"/>
    <tableColumn name="Issuance Date" id="7"/>
    <tableColumn name="Maturity Date" id="8"/>
    <tableColumn name="Exchange listing" id="9"/>
    <tableColumn name="Paying Agent" id="10"/>
    <tableColumn name="Moody's" id="11"/>
    <tableColumn name="S&amp;P" id="12"/>
    <tableColumn name="Fitch" id="13"/>
    <tableColumn name="Status of Notes" id="14"/>
    <tableColumn name="Method of Distribution" id="15"/>
    <tableColumn name="Syndicate" id="16"/>
    <tableColumn name="Source" id="17"/>
    <tableColumn name="Comment" id="18"/>
    <tableColumn name="Date" id="19"/>
  </tableColumns>
  <tableStyleInfo name="TableStyleLight1" showColumnStripes="0" showRowStripes="1" showLastColumn="0" showFirstColumn="0"/>
</table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44546A"/>
      </a:accent2>
      <a:accent3>
        <a:srgbClr val="2F3E46"/>
      </a:accent3>
      <a:accent4>
        <a:srgbClr val="344F51"/>
      </a:accent4>
      <a:accent5>
        <a:srgbClr val="51796F"/>
      </a:accent5>
      <a:accent6>
        <a:srgbClr val="83A98C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<Relationships xmlns="http://schemas.openxmlformats.org/package/2006/relationships"><Relationship Target="../tables/table1.xml" Type="http://schemas.openxmlformats.org/officeDocument/2006/relationships/table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105"/>
  <sheetViews>
    <sheetView workbookViewId="0"/>
  </sheetViews>
  <sheetFormatPr defaultRowHeight="15" x14ac:dyDescent="0.25"/>
  <cols>
    <col min="1" max="1" style="5" width="8.862142857142858" customWidth="1" bestFit="1"/>
    <col min="2" max="2" style="5" width="45.005" customWidth="1" bestFit="1"/>
  </cols>
  <sheetData>
    <row x14ac:dyDescent="0.25" r="1" customHeight="1" ht="28.899999999999995">
      <c r="A1" s="1"/>
      <c r="B1" s="1"/>
    </row>
    <row x14ac:dyDescent="0.25" r="2" customHeight="1" ht="28.899999999999995">
      <c r="A2" s="1"/>
      <c r="B2" s="36" t="s">
        <v>625</v>
      </c>
    </row>
    <row x14ac:dyDescent="0.25" r="3" customHeight="1" ht="15">
      <c r="A3" s="1"/>
      <c r="B3" s="1"/>
    </row>
    <row x14ac:dyDescent="0.25" r="4" customHeight="1" ht="18.75">
      <c r="A4" s="1"/>
      <c r="B4" s="1"/>
    </row>
    <row x14ac:dyDescent="0.25" r="5" customHeight="1" ht="18.75">
      <c r="A5" s="1"/>
      <c r="B5" s="17" t="s">
        <v>626</v>
      </c>
    </row>
    <row x14ac:dyDescent="0.25" r="6" customHeight="1" ht="18.75">
      <c r="A6" s="1"/>
      <c r="B6" s="47"/>
    </row>
    <row x14ac:dyDescent="0.25" r="7" customHeight="1" ht="18.75">
      <c r="A7" s="1"/>
      <c r="B7" s="47"/>
    </row>
    <row x14ac:dyDescent="0.25" r="8" customHeight="1" ht="18.75">
      <c r="A8" s="1"/>
      <c r="B8" s="47"/>
    </row>
    <row x14ac:dyDescent="0.25" r="9" customHeight="1" ht="18.75">
      <c r="A9" s="1"/>
      <c r="B9" s="47"/>
    </row>
    <row x14ac:dyDescent="0.25" r="10" customHeight="1" ht="18.75">
      <c r="A10" s="1"/>
      <c r="B10" s="47"/>
    </row>
    <row x14ac:dyDescent="0.25" r="11" customHeight="1" ht="18.75">
      <c r="A11" s="1"/>
      <c r="B11" s="47"/>
    </row>
    <row x14ac:dyDescent="0.25" r="12" customHeight="1" ht="18.75">
      <c r="A12" s="1"/>
      <c r="B12" s="47"/>
    </row>
    <row x14ac:dyDescent="0.25" r="13" customHeight="1" ht="18.75">
      <c r="A13" s="1"/>
      <c r="B13" s="47"/>
    </row>
    <row x14ac:dyDescent="0.25" r="14" customHeight="1" ht="18.75">
      <c r="A14" s="1"/>
      <c r="B14" s="47"/>
    </row>
    <row x14ac:dyDescent="0.25" r="15" customHeight="1" ht="18.75">
      <c r="A15" s="1"/>
      <c r="B15" s="47"/>
    </row>
    <row x14ac:dyDescent="0.25" r="16" customHeight="1" ht="18.75">
      <c r="A16" s="1"/>
      <c r="B16" s="47"/>
    </row>
    <row x14ac:dyDescent="0.25" r="17" customHeight="1" ht="18.75">
      <c r="A17" s="1"/>
      <c r="B17" s="47"/>
    </row>
    <row x14ac:dyDescent="0.25" r="18" customHeight="1" ht="18.75">
      <c r="A18" s="1"/>
      <c r="B18" s="47"/>
    </row>
    <row x14ac:dyDescent="0.25" r="19" customHeight="1" ht="18.75">
      <c r="A19" s="1"/>
      <c r="B19" s="47"/>
    </row>
    <row x14ac:dyDescent="0.25" r="20" customHeight="1" ht="18.75">
      <c r="A20" s="1"/>
      <c r="B20" s="47"/>
    </row>
    <row x14ac:dyDescent="0.25" r="21" customHeight="1" ht="18.75">
      <c r="A21" s="1"/>
      <c r="B21" s="47"/>
    </row>
    <row x14ac:dyDescent="0.25" r="22" customHeight="1" ht="18.75">
      <c r="A22" s="1"/>
      <c r="B22" s="47"/>
    </row>
    <row x14ac:dyDescent="0.25" r="23" customHeight="1" ht="18.75">
      <c r="A23" s="1"/>
      <c r="B23" s="47"/>
    </row>
    <row x14ac:dyDescent="0.25" r="24" customHeight="1" ht="18.75">
      <c r="A24" s="1"/>
      <c r="B24" s="47"/>
    </row>
    <row x14ac:dyDescent="0.25" r="25" customHeight="1" ht="18.75">
      <c r="A25" s="1"/>
      <c r="B25" s="47"/>
    </row>
    <row x14ac:dyDescent="0.25" r="26" customHeight="1" ht="18.75">
      <c r="A26" s="1"/>
      <c r="B26" s="47"/>
    </row>
    <row x14ac:dyDescent="0.25" r="27" customHeight="1" ht="18.75">
      <c r="A27" s="1"/>
      <c r="B27" s="47"/>
    </row>
    <row x14ac:dyDescent="0.25" r="28" customHeight="1" ht="18.75">
      <c r="A28" s="1"/>
      <c r="B28" s="47"/>
    </row>
    <row x14ac:dyDescent="0.25" r="29" customHeight="1" ht="18.75">
      <c r="A29" s="1"/>
      <c r="B29" s="47"/>
    </row>
    <row x14ac:dyDescent="0.25" r="30" customHeight="1" ht="18.75">
      <c r="A30" s="1"/>
      <c r="B30" s="47"/>
    </row>
    <row x14ac:dyDescent="0.25" r="31" customHeight="1" ht="18.75">
      <c r="A31" s="1"/>
      <c r="B31" s="47"/>
    </row>
    <row x14ac:dyDescent="0.25" r="32" customHeight="1" ht="18.75">
      <c r="A32" s="1"/>
      <c r="B32" s="47"/>
    </row>
    <row x14ac:dyDescent="0.25" r="33" customHeight="1" ht="18.75">
      <c r="A33" s="1"/>
      <c r="B33" s="47"/>
    </row>
    <row x14ac:dyDescent="0.25" r="34" customHeight="1" ht="18.75">
      <c r="A34" s="1"/>
      <c r="B34" s="47"/>
    </row>
    <row x14ac:dyDescent="0.25" r="35" customHeight="1" ht="18.75">
      <c r="A35" s="1"/>
      <c r="B35" s="47"/>
    </row>
    <row x14ac:dyDescent="0.25" r="36" customHeight="1" ht="18.75">
      <c r="A36" s="1"/>
      <c r="B36" s="47"/>
    </row>
    <row x14ac:dyDescent="0.25" r="37" customHeight="1" ht="18.75">
      <c r="A37" s="1"/>
      <c r="B37" s="47"/>
    </row>
    <row x14ac:dyDescent="0.25" r="38" customHeight="1" ht="18.75">
      <c r="A38" s="1"/>
      <c r="B38" s="47"/>
    </row>
    <row x14ac:dyDescent="0.25" r="39" customHeight="1" ht="18.75">
      <c r="A39" s="1"/>
      <c r="B39" s="47"/>
    </row>
    <row x14ac:dyDescent="0.25" r="40" customHeight="1" ht="18.75">
      <c r="A40" s="1"/>
      <c r="B40" s="47"/>
    </row>
    <row x14ac:dyDescent="0.25" r="41" customHeight="1" ht="18.75">
      <c r="A41" s="1"/>
      <c r="B41" s="47"/>
    </row>
    <row x14ac:dyDescent="0.25" r="42" customHeight="1" ht="18.75">
      <c r="A42" s="1"/>
      <c r="B42" s="47"/>
    </row>
    <row x14ac:dyDescent="0.25" r="43" customHeight="1" ht="18.75">
      <c r="A43" s="1"/>
      <c r="B43" s="47"/>
    </row>
    <row x14ac:dyDescent="0.25" r="44" customHeight="1" ht="18.75">
      <c r="A44" s="1"/>
      <c r="B44" s="47"/>
    </row>
    <row x14ac:dyDescent="0.25" r="45" customHeight="1" ht="18.75">
      <c r="A45" s="1"/>
      <c r="B45" s="47"/>
    </row>
    <row x14ac:dyDescent="0.25" r="46" customHeight="1" ht="18.75">
      <c r="A46" s="1"/>
      <c r="B46" s="47"/>
    </row>
    <row x14ac:dyDescent="0.25" r="47" customHeight="1" ht="18.75">
      <c r="A47" s="1"/>
      <c r="B47" s="47"/>
    </row>
    <row x14ac:dyDescent="0.25" r="48" customHeight="1" ht="18.75">
      <c r="A48" s="1"/>
      <c r="B48" s="47"/>
    </row>
    <row x14ac:dyDescent="0.25" r="49" customHeight="1" ht="18.75">
      <c r="A49" s="1"/>
      <c r="B49" s="47"/>
    </row>
    <row x14ac:dyDescent="0.25" r="50" customHeight="1" ht="18.75">
      <c r="A50" s="1"/>
      <c r="B50" s="47"/>
    </row>
    <row x14ac:dyDescent="0.25" r="51" customHeight="1" ht="18.75">
      <c r="A51" s="1"/>
      <c r="B51" s="47"/>
    </row>
    <row x14ac:dyDescent="0.25" r="52" customHeight="1" ht="18.75">
      <c r="A52" s="1"/>
      <c r="B52" s="47"/>
    </row>
    <row x14ac:dyDescent="0.25" r="53" customHeight="1" ht="18.75">
      <c r="A53" s="1"/>
      <c r="B53" s="47"/>
    </row>
    <row x14ac:dyDescent="0.25" r="54" customHeight="1" ht="18.75">
      <c r="A54" s="1"/>
      <c r="B54" s="47"/>
    </row>
    <row x14ac:dyDescent="0.25" r="55" customHeight="1" ht="18.75">
      <c r="A55" s="1"/>
      <c r="B55" s="47"/>
    </row>
    <row x14ac:dyDescent="0.25" r="56" customHeight="1" ht="18.75">
      <c r="A56" s="1"/>
      <c r="B56" s="47"/>
    </row>
    <row x14ac:dyDescent="0.25" r="57" customHeight="1" ht="18.75">
      <c r="A57" s="1"/>
      <c r="B57" s="47"/>
    </row>
    <row x14ac:dyDescent="0.25" r="58" customHeight="1" ht="18.75">
      <c r="A58" s="1"/>
      <c r="B58" s="47"/>
    </row>
    <row x14ac:dyDescent="0.25" r="59" customHeight="1" ht="18.75">
      <c r="A59" s="1"/>
      <c r="B59" s="47"/>
    </row>
    <row x14ac:dyDescent="0.25" r="60" customHeight="1" ht="18.75">
      <c r="A60" s="1"/>
      <c r="B60" s="47"/>
    </row>
    <row x14ac:dyDescent="0.25" r="61" customHeight="1" ht="18.75">
      <c r="A61" s="1"/>
      <c r="B61" s="47"/>
    </row>
    <row x14ac:dyDescent="0.25" r="62" customHeight="1" ht="18.75">
      <c r="A62" s="1"/>
      <c r="B62" s="47"/>
    </row>
    <row x14ac:dyDescent="0.25" r="63" customHeight="1" ht="18.75">
      <c r="A63" s="1"/>
      <c r="B63" s="47"/>
    </row>
    <row x14ac:dyDescent="0.25" r="64" customHeight="1" ht="18.75">
      <c r="A64" s="1"/>
      <c r="B64" s="47"/>
    </row>
    <row x14ac:dyDescent="0.25" r="65" customHeight="1" ht="18.75">
      <c r="A65" s="1"/>
      <c r="B65" s="47"/>
    </row>
    <row x14ac:dyDescent="0.25" r="66" customHeight="1" ht="18.75">
      <c r="A66" s="1"/>
      <c r="B66" s="47"/>
    </row>
    <row x14ac:dyDescent="0.25" r="67" customHeight="1" ht="18.75">
      <c r="A67" s="1"/>
      <c r="B67" s="47"/>
    </row>
    <row x14ac:dyDescent="0.25" r="68" customHeight="1" ht="18.75">
      <c r="A68" s="1"/>
      <c r="B68" s="47"/>
    </row>
    <row x14ac:dyDescent="0.25" r="69" customHeight="1" ht="18.75">
      <c r="A69" s="1"/>
      <c r="B69" s="47"/>
    </row>
    <row x14ac:dyDescent="0.25" r="70" customHeight="1" ht="18.75">
      <c r="A70" s="1"/>
      <c r="B70" s="47"/>
    </row>
    <row x14ac:dyDescent="0.25" r="71" customHeight="1" ht="18.75">
      <c r="A71" s="1"/>
      <c r="B71" s="47"/>
    </row>
    <row x14ac:dyDescent="0.25" r="72" customHeight="1" ht="18.75">
      <c r="A72" s="1"/>
      <c r="B72" s="47"/>
    </row>
    <row x14ac:dyDescent="0.25" r="73" customHeight="1" ht="18.75">
      <c r="A73" s="1"/>
      <c r="B73" s="47"/>
    </row>
    <row x14ac:dyDescent="0.25" r="74" customHeight="1" ht="18.75">
      <c r="A74" s="1"/>
      <c r="B74" s="47"/>
    </row>
    <row x14ac:dyDescent="0.25" r="75" customHeight="1" ht="18.75">
      <c r="A75" s="1"/>
      <c r="B75" s="47"/>
    </row>
    <row x14ac:dyDescent="0.25" r="76" customHeight="1" ht="18.75">
      <c r="A76" s="1"/>
      <c r="B76" s="47"/>
    </row>
    <row x14ac:dyDescent="0.25" r="77" customHeight="1" ht="18.75">
      <c r="A77" s="1"/>
      <c r="B77" s="47"/>
    </row>
    <row x14ac:dyDescent="0.25" r="78" customHeight="1" ht="18.75">
      <c r="A78" s="1"/>
      <c r="B78" s="47"/>
    </row>
    <row x14ac:dyDescent="0.25" r="79" customHeight="1" ht="18.75">
      <c r="A79" s="1"/>
      <c r="B79" s="47"/>
    </row>
    <row x14ac:dyDescent="0.25" r="80" customHeight="1" ht="18.75">
      <c r="A80" s="1"/>
      <c r="B80" s="47"/>
    </row>
    <row x14ac:dyDescent="0.25" r="81" customHeight="1" ht="18.75">
      <c r="A81" s="1"/>
      <c r="B81" s="47"/>
    </row>
    <row x14ac:dyDescent="0.25" r="82" customHeight="1" ht="18.75">
      <c r="A82" s="1"/>
      <c r="B82" s="47"/>
    </row>
    <row x14ac:dyDescent="0.25" r="83" customHeight="1" ht="18.75">
      <c r="A83" s="1"/>
      <c r="B83" s="47"/>
    </row>
    <row x14ac:dyDescent="0.25" r="84" customHeight="1" ht="18.75">
      <c r="A84" s="1"/>
      <c r="B84" s="47"/>
    </row>
    <row x14ac:dyDescent="0.25" r="85" customHeight="1" ht="18.75">
      <c r="A85" s="1"/>
      <c r="B85" s="47"/>
    </row>
    <row x14ac:dyDescent="0.25" r="86" customHeight="1" ht="18.75">
      <c r="A86" s="1"/>
      <c r="B86" s="47"/>
    </row>
    <row x14ac:dyDescent="0.25" r="87" customHeight="1" ht="18.75">
      <c r="A87" s="1"/>
      <c r="B87" s="47"/>
    </row>
    <row x14ac:dyDescent="0.25" r="88" customHeight="1" ht="18.75">
      <c r="A88" s="1"/>
      <c r="B88" s="47"/>
    </row>
    <row x14ac:dyDescent="0.25" r="89" customHeight="1" ht="18.75">
      <c r="A89" s="1"/>
      <c r="B89" s="47"/>
    </row>
    <row x14ac:dyDescent="0.25" r="90" customHeight="1" ht="18.75">
      <c r="A90" s="1"/>
      <c r="B90" s="47"/>
    </row>
    <row x14ac:dyDescent="0.25" r="91" customHeight="1" ht="18.75">
      <c r="A91" s="1"/>
      <c r="B91" s="47"/>
    </row>
    <row x14ac:dyDescent="0.25" r="92" customHeight="1" ht="18.75">
      <c r="A92" s="1"/>
      <c r="B92" s="47"/>
    </row>
    <row x14ac:dyDescent="0.25" r="93" customHeight="1" ht="18.75">
      <c r="A93" s="1"/>
      <c r="B93" s="47"/>
    </row>
    <row x14ac:dyDescent="0.25" r="94" customHeight="1" ht="18.75">
      <c r="A94" s="1"/>
      <c r="B94" s="47"/>
    </row>
    <row x14ac:dyDescent="0.25" r="95" customHeight="1" ht="18.75">
      <c r="A95" s="1"/>
      <c r="B95" s="47"/>
    </row>
    <row x14ac:dyDescent="0.25" r="96" customHeight="1" ht="18.75">
      <c r="A96" s="1"/>
      <c r="B96" s="47"/>
    </row>
    <row x14ac:dyDescent="0.25" r="97" customHeight="1" ht="18.75">
      <c r="A97" s="1"/>
      <c r="B97" s="47"/>
    </row>
    <row x14ac:dyDescent="0.25" r="98" customHeight="1" ht="18.75">
      <c r="A98" s="1"/>
      <c r="B98" s="47"/>
    </row>
    <row x14ac:dyDescent="0.25" r="99" customHeight="1" ht="18.75">
      <c r="A99" s="1"/>
      <c r="B99" s="47"/>
    </row>
    <row x14ac:dyDescent="0.25" r="100" customHeight="1" ht="18.75">
      <c r="A100" s="1"/>
      <c r="B100" s="47"/>
    </row>
    <row x14ac:dyDescent="0.25" r="101" customHeight="1" ht="18.75">
      <c r="A101" s="1"/>
      <c r="B101" s="47"/>
    </row>
    <row x14ac:dyDescent="0.25" r="102" customHeight="1" ht="18.75">
      <c r="A102" s="1"/>
      <c r="B102" s="47"/>
    </row>
    <row x14ac:dyDescent="0.25" r="103" customHeight="1" ht="18.75">
      <c r="A103" s="1"/>
      <c r="B103" s="47"/>
    </row>
    <row x14ac:dyDescent="0.25" r="104" customHeight="1" ht="18.75">
      <c r="A104" s="1"/>
      <c r="B104" s="47"/>
    </row>
    <row x14ac:dyDescent="0.25" r="105" customHeight="1" ht="18.75">
      <c r="A105" s="1"/>
      <c r="B105" s="4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L51"/>
  <sheetViews>
    <sheetView workbookViewId="0"/>
  </sheetViews>
  <sheetFormatPr defaultRowHeight="15" x14ac:dyDescent="0.25"/>
  <cols>
    <col min="1" max="1" style="5" width="4.576428571428571" customWidth="1" bestFit="1"/>
    <col min="2" max="2" style="5" width="36.71928571428572" customWidth="1" bestFit="1"/>
    <col min="3" max="3" style="15" width="39.71928571428572" customWidth="1" bestFit="1"/>
    <col min="4" max="4" style="5" width="25.719285714285714" customWidth="1" bestFit="1"/>
    <col min="5" max="5" style="5" width="9.147857142857141" customWidth="1" bestFit="1"/>
    <col min="6" max="6" style="5" width="9.147857142857141" customWidth="1" bestFit="1"/>
    <col min="7" max="7" style="5" width="9.147857142857141" customWidth="1" bestFit="1"/>
    <col min="8" max="8" style="5" width="9.147857142857141" customWidth="1" bestFit="1"/>
    <col min="9" max="9" style="5" width="13.576428571428572" customWidth="1" bestFit="1" hidden="1"/>
    <col min="10" max="10" style="5" width="13.576428571428572" customWidth="1" bestFit="1" hidden="1"/>
    <col min="11" max="11" style="14" width="13.576428571428572" customWidth="1" bestFit="1" hidden="1"/>
    <col min="12" max="12" style="5" width="13.576428571428572" customWidth="1" bestFit="1" hidden="1"/>
  </cols>
  <sheetData>
    <row x14ac:dyDescent="0.25" r="1" customHeight="1" ht="28.899999999999995">
      <c r="A1" s="1"/>
      <c r="B1" s="1"/>
      <c r="C1" s="7"/>
      <c r="D1" s="1"/>
      <c r="E1" s="1"/>
      <c r="F1" s="1"/>
      <c r="G1" s="1"/>
      <c r="H1" s="1"/>
      <c r="I1" s="1"/>
      <c r="J1" s="1"/>
      <c r="K1" s="6"/>
      <c r="L1" s="1"/>
    </row>
    <row x14ac:dyDescent="0.25" r="2" customHeight="1" ht="28.899999999999995">
      <c r="A2" s="1"/>
      <c r="B2" s="36"/>
      <c r="C2" s="37" t="s">
        <v>613</v>
      </c>
      <c r="D2" s="1"/>
      <c r="E2" s="1"/>
      <c r="F2" s="1"/>
      <c r="G2" s="1"/>
      <c r="H2" s="1"/>
      <c r="I2" s="1"/>
      <c r="J2" s="1"/>
      <c r="K2" s="6"/>
      <c r="L2" s="1"/>
    </row>
    <row x14ac:dyDescent="0.25" r="3" customHeight="1" ht="15">
      <c r="A3" s="1"/>
      <c r="B3" s="1"/>
      <c r="C3" s="7"/>
      <c r="D3" s="1"/>
      <c r="E3" s="1"/>
      <c r="F3" s="1"/>
      <c r="G3" s="1"/>
      <c r="H3" s="1"/>
      <c r="I3" s="1"/>
      <c r="J3" s="1"/>
      <c r="K3" s="6"/>
      <c r="L3" s="1"/>
    </row>
    <row x14ac:dyDescent="0.25" r="4" customHeight="1" ht="18.75">
      <c r="A4" s="1"/>
      <c r="B4" s="1"/>
      <c r="C4" s="7"/>
      <c r="D4" s="1"/>
      <c r="E4" s="1"/>
      <c r="F4" s="1"/>
      <c r="G4" s="1"/>
      <c r="H4" s="1"/>
      <c r="I4" s="1"/>
      <c r="J4" s="1"/>
      <c r="K4" s="6"/>
      <c r="L4" s="1"/>
    </row>
    <row x14ac:dyDescent="0.25" r="5" customHeight="1" ht="285.6">
      <c r="A5" s="1"/>
      <c r="B5" s="1"/>
      <c r="C5" s="7"/>
      <c r="D5" s="1"/>
      <c r="E5" s="1"/>
      <c r="F5" s="1"/>
      <c r="G5" s="1"/>
      <c r="H5" s="1"/>
      <c r="I5" s="1"/>
      <c r="J5" s="1"/>
      <c r="K5" s="6"/>
      <c r="L5" s="1"/>
    </row>
    <row x14ac:dyDescent="0.25" r="6" customHeight="1" ht="18.75">
      <c r="A6" s="1"/>
      <c r="B6" s="1"/>
      <c r="C6" s="7"/>
      <c r="D6" s="1"/>
      <c r="E6" s="1"/>
      <c r="F6" s="1"/>
      <c r="G6" s="1"/>
      <c r="H6" s="1"/>
      <c r="I6" s="1"/>
      <c r="J6" s="1"/>
      <c r="K6" s="6"/>
      <c r="L6" s="1"/>
    </row>
    <row x14ac:dyDescent="0.25" r="7" customHeight="1" ht="18.75">
      <c r="A7" s="1"/>
      <c r="B7" s="17" t="s">
        <v>614</v>
      </c>
      <c r="C7" s="38" t="s">
        <v>615</v>
      </c>
      <c r="D7" s="1"/>
      <c r="E7" s="1"/>
      <c r="F7" s="1"/>
      <c r="G7" s="1"/>
      <c r="H7" s="1"/>
      <c r="I7" s="1"/>
      <c r="J7" s="1"/>
      <c r="K7" s="6"/>
      <c r="L7" s="1"/>
    </row>
    <row x14ac:dyDescent="0.25" r="8" customHeight="1" ht="18.75">
      <c r="A8" s="1"/>
      <c r="B8" s="17" t="s">
        <v>549</v>
      </c>
      <c r="C8" s="39">
        <v>45892</v>
      </c>
      <c r="D8" s="1"/>
      <c r="E8" s="1"/>
      <c r="F8" s="1"/>
      <c r="G8" s="1"/>
      <c r="H8" s="1"/>
      <c r="I8" s="1"/>
      <c r="J8" s="1"/>
      <c r="K8" s="6"/>
      <c r="L8" s="1"/>
    </row>
    <row x14ac:dyDescent="0.25" r="9" customHeight="1" ht="18.75">
      <c r="A9" s="1"/>
      <c r="B9" s="1"/>
      <c r="C9" s="7"/>
      <c r="D9" s="1"/>
      <c r="E9" s="1"/>
      <c r="F9" s="1"/>
      <c r="G9" s="1"/>
      <c r="H9" s="1"/>
      <c r="I9" s="1"/>
      <c r="J9" s="1"/>
      <c r="K9" s="6"/>
      <c r="L9" s="1"/>
    </row>
    <row x14ac:dyDescent="0.25" r="10" customHeight="1" ht="18.75">
      <c r="A10" s="1"/>
      <c r="B10" s="1"/>
      <c r="C10" s="7"/>
      <c r="D10" s="1"/>
      <c r="E10" s="1"/>
      <c r="F10" s="1"/>
      <c r="G10" s="1"/>
      <c r="H10" s="1"/>
      <c r="I10" s="1"/>
      <c r="J10" s="17" t="s">
        <v>559</v>
      </c>
      <c r="K10" s="40" t="s">
        <v>616</v>
      </c>
      <c r="L10" s="1"/>
    </row>
    <row x14ac:dyDescent="0.25" r="11" customHeight="1" ht="15">
      <c r="A11" s="1"/>
      <c r="B11" s="1"/>
      <c r="C11" s="7"/>
      <c r="D11" s="1"/>
      <c r="E11" s="1"/>
      <c r="F11" s="1"/>
      <c r="G11" s="1"/>
      <c r="H11" s="1"/>
      <c r="I11" s="1"/>
      <c r="J11" s="17" t="s">
        <v>560</v>
      </c>
      <c r="K11" s="40" t="s">
        <v>617</v>
      </c>
      <c r="L11" s="1"/>
    </row>
    <row x14ac:dyDescent="0.25" r="12" customHeight="1" ht="18.75">
      <c r="A12" s="1"/>
      <c r="B12" s="17" t="s">
        <v>559</v>
      </c>
      <c r="C12" s="7" t="s">
        <v>616</v>
      </c>
      <c r="D12" s="1"/>
      <c r="E12" s="1"/>
      <c r="F12" s="1"/>
      <c r="G12" s="1"/>
      <c r="H12" s="1"/>
      <c r="I12" s="1"/>
      <c r="J12" s="17" t="s">
        <v>561</v>
      </c>
      <c r="K12" s="40" t="s">
        <v>618</v>
      </c>
      <c r="L12" s="1"/>
    </row>
    <row x14ac:dyDescent="0.25" r="13" customHeight="1" ht="18.75">
      <c r="A13" s="1"/>
      <c r="B13" s="17" t="s">
        <v>560</v>
      </c>
      <c r="C13" s="39" t="s">
        <v>617</v>
      </c>
      <c r="D13" s="1"/>
      <c r="E13" s="1"/>
      <c r="F13" s="1"/>
      <c r="G13" s="1"/>
      <c r="H13" s="1"/>
      <c r="I13" s="1"/>
      <c r="J13" s="17" t="s">
        <v>562</v>
      </c>
      <c r="K13" s="40" t="s">
        <v>619</v>
      </c>
      <c r="L13" s="1"/>
    </row>
    <row x14ac:dyDescent="0.25" r="14" customHeight="1" ht="18.75">
      <c r="A14" s="1"/>
      <c r="B14" s="17" t="s">
        <v>561</v>
      </c>
      <c r="C14" s="39" t="s">
        <v>618</v>
      </c>
      <c r="D14" s="1"/>
      <c r="E14" s="1"/>
      <c r="F14" s="1"/>
      <c r="G14" s="1"/>
      <c r="H14" s="1"/>
      <c r="I14" s="1"/>
      <c r="J14" s="17" t="s">
        <v>563</v>
      </c>
      <c r="K14" s="40" t="s">
        <v>620</v>
      </c>
      <c r="L14" s="1"/>
    </row>
    <row x14ac:dyDescent="0.25" r="15" customHeight="1" ht="18.75">
      <c r="A15" s="1"/>
      <c r="B15" s="17" t="s">
        <v>562</v>
      </c>
      <c r="C15" s="39" t="s">
        <v>619</v>
      </c>
      <c r="D15" s="1"/>
      <c r="E15" s="1"/>
      <c r="F15" s="1"/>
      <c r="G15" s="1"/>
      <c r="H15" s="1"/>
      <c r="I15" s="1"/>
      <c r="J15" s="17" t="s">
        <v>0</v>
      </c>
      <c r="K15" s="40" t="s">
        <v>621</v>
      </c>
      <c r="L15" s="1"/>
    </row>
    <row x14ac:dyDescent="0.25" r="16" customHeight="1" ht="18.75">
      <c r="A16" s="1"/>
      <c r="B16" s="17" t="s">
        <v>563</v>
      </c>
      <c r="C16" s="39" t="s">
        <v>620</v>
      </c>
      <c r="D16" s="1"/>
      <c r="E16" s="1"/>
      <c r="F16" s="1"/>
      <c r="G16" s="1"/>
      <c r="H16" s="1"/>
      <c r="I16" s="1"/>
      <c r="J16" s="17" t="s">
        <v>564</v>
      </c>
      <c r="K16" s="40" t="s">
        <v>622</v>
      </c>
      <c r="L16" s="1"/>
    </row>
    <row x14ac:dyDescent="0.25" r="17" customHeight="1" ht="18.75">
      <c r="A17" s="1"/>
      <c r="B17" s="17" t="s">
        <v>0</v>
      </c>
      <c r="C17" s="39" t="s">
        <v>621</v>
      </c>
      <c r="D17" s="1"/>
      <c r="E17" s="1"/>
      <c r="F17" s="1"/>
      <c r="G17" s="1"/>
      <c r="H17" s="1"/>
      <c r="I17" s="1"/>
      <c r="J17" s="17" t="s">
        <v>565</v>
      </c>
      <c r="K17" s="40" t="s">
        <v>602</v>
      </c>
      <c r="L17" s="1"/>
    </row>
    <row x14ac:dyDescent="0.25" r="18" customHeight="1" ht="18.75">
      <c r="A18" s="1"/>
      <c r="B18" s="17" t="s">
        <v>564</v>
      </c>
      <c r="C18" s="39" t="s">
        <v>622</v>
      </c>
      <c r="D18" s="1"/>
      <c r="E18" s="1"/>
      <c r="F18" s="1"/>
      <c r="G18" s="1"/>
      <c r="H18" s="41"/>
      <c r="I18" s="1"/>
      <c r="J18" s="17" t="s">
        <v>566</v>
      </c>
      <c r="K18" s="40" t="s">
        <v>602</v>
      </c>
      <c r="L18" s="1"/>
    </row>
    <row x14ac:dyDescent="0.25" r="19" customHeight="1" ht="18.75">
      <c r="A19" s="1"/>
      <c r="B19" s="17" t="s">
        <v>565</v>
      </c>
      <c r="C19" s="39" t="s">
        <v>602</v>
      </c>
      <c r="D19" s="1"/>
      <c r="E19" s="1"/>
      <c r="F19" s="1"/>
      <c r="G19" s="1"/>
      <c r="H19" s="1"/>
      <c r="I19" s="1"/>
      <c r="J19" s="17" t="s">
        <v>567</v>
      </c>
      <c r="K19" s="40" t="s">
        <v>14</v>
      </c>
      <c r="L19" s="4"/>
    </row>
    <row x14ac:dyDescent="0.25" r="20" customHeight="1" ht="18.75">
      <c r="A20" s="1"/>
      <c r="B20" s="17" t="s">
        <v>566</v>
      </c>
      <c r="C20" s="39" t="s">
        <v>602</v>
      </c>
      <c r="D20" s="1"/>
      <c r="E20" s="1"/>
      <c r="F20" s="1"/>
      <c r="G20" s="1"/>
      <c r="H20" s="1"/>
      <c r="I20" s="1"/>
      <c r="J20" s="17" t="s">
        <v>568</v>
      </c>
      <c r="K20" s="40" t="s">
        <v>580</v>
      </c>
      <c r="L20" s="1"/>
    </row>
    <row x14ac:dyDescent="0.25" r="21" customHeight="1" ht="18.75">
      <c r="A21" s="1"/>
      <c r="B21" s="17" t="s">
        <v>567</v>
      </c>
      <c r="C21" s="39" t="s">
        <v>14</v>
      </c>
      <c r="D21" s="42"/>
      <c r="E21" s="1"/>
      <c r="F21" s="1"/>
      <c r="G21" s="1"/>
      <c r="H21" s="1"/>
      <c r="I21" s="1"/>
      <c r="J21" s="17" t="s">
        <v>2</v>
      </c>
      <c r="K21" s="40" t="s">
        <v>581</v>
      </c>
      <c r="L21" s="1"/>
    </row>
    <row x14ac:dyDescent="0.25" r="22" customHeight="1" ht="18.75">
      <c r="A22" s="1"/>
      <c r="B22" s="17" t="s">
        <v>568</v>
      </c>
      <c r="C22" s="39" t="s">
        <v>580</v>
      </c>
      <c r="D22" s="1"/>
      <c r="E22" s="1"/>
      <c r="F22" s="1"/>
      <c r="G22" s="1"/>
      <c r="H22" s="1"/>
      <c r="I22" s="1"/>
      <c r="J22" s="17" t="s">
        <v>3</v>
      </c>
      <c r="K22" s="40" t="s">
        <v>581</v>
      </c>
      <c r="L22" s="1"/>
    </row>
    <row x14ac:dyDescent="0.25" r="23" customHeight="1" ht="18.75">
      <c r="A23" s="1"/>
      <c r="B23" s="17" t="s">
        <v>2</v>
      </c>
      <c r="C23" s="39" t="s">
        <v>581</v>
      </c>
      <c r="D23" s="1"/>
      <c r="E23" s="1"/>
      <c r="F23" s="1"/>
      <c r="G23" s="1"/>
      <c r="H23" s="1"/>
      <c r="I23" s="1"/>
      <c r="J23" s="17" t="s">
        <v>4</v>
      </c>
      <c r="K23" s="40" t="s">
        <v>581</v>
      </c>
      <c r="L23" s="1"/>
    </row>
    <row x14ac:dyDescent="0.25" r="24" customHeight="1" ht="18.75">
      <c r="A24" s="1"/>
      <c r="B24" s="17" t="s">
        <v>3</v>
      </c>
      <c r="C24" s="39" t="s">
        <v>581</v>
      </c>
      <c r="D24" s="1"/>
      <c r="E24" s="1"/>
      <c r="F24" s="1"/>
      <c r="G24" s="1"/>
      <c r="H24" s="1"/>
      <c r="I24" s="1"/>
      <c r="J24" s="17" t="s">
        <v>569</v>
      </c>
      <c r="K24" s="40" t="s">
        <v>590</v>
      </c>
      <c r="L24" s="1"/>
    </row>
    <row x14ac:dyDescent="0.25" r="25" customHeight="1" ht="18.75">
      <c r="A25" s="1"/>
      <c r="B25" s="17" t="s">
        <v>4</v>
      </c>
      <c r="C25" s="39" t="s">
        <v>581</v>
      </c>
      <c r="D25" s="1"/>
      <c r="E25" s="1"/>
      <c r="F25" s="1"/>
      <c r="G25" s="1"/>
      <c r="H25" s="1"/>
      <c r="I25" s="1"/>
      <c r="J25" s="17" t="s">
        <v>570</v>
      </c>
      <c r="K25" s="43" t="s">
        <v>582</v>
      </c>
      <c r="L25" s="1"/>
    </row>
    <row x14ac:dyDescent="0.25" r="26" customHeight="1" ht="18.75">
      <c r="A26" s="1"/>
      <c r="B26" s="17" t="s">
        <v>623</v>
      </c>
      <c r="C26" s="39" t="s">
        <v>590</v>
      </c>
      <c r="D26" s="1"/>
      <c r="E26" s="1"/>
      <c r="F26" s="1"/>
      <c r="G26" s="1"/>
      <c r="H26" s="1"/>
      <c r="I26" s="1"/>
      <c r="J26" s="44" t="s">
        <v>6</v>
      </c>
      <c r="K26" s="40" t="s">
        <v>624</v>
      </c>
      <c r="L26" s="4"/>
    </row>
    <row x14ac:dyDescent="0.25" r="27" customHeight="1" ht="18.75">
      <c r="A27" s="1"/>
      <c r="B27" s="17" t="s">
        <v>570</v>
      </c>
      <c r="C27" s="39" t="s">
        <v>582</v>
      </c>
      <c r="D27" s="1"/>
      <c r="E27" s="1"/>
      <c r="F27" s="1"/>
      <c r="G27" s="1"/>
      <c r="H27" s="1"/>
      <c r="I27" s="1"/>
      <c r="J27" s="45"/>
      <c r="K27" s="40" t="s">
        <v>624</v>
      </c>
      <c r="L27" s="4"/>
    </row>
    <row x14ac:dyDescent="0.25" r="28" customHeight="1" ht="18.75">
      <c r="A28" s="1"/>
      <c r="B28" s="44" t="s">
        <v>6</v>
      </c>
      <c r="C28" s="39" t="s">
        <v>624</v>
      </c>
      <c r="D28" s="42"/>
      <c r="E28" s="1"/>
      <c r="F28" s="1"/>
      <c r="G28" s="1"/>
      <c r="H28" s="1"/>
      <c r="I28" s="1"/>
      <c r="J28" s="45"/>
      <c r="K28" s="40" t="s">
        <v>624</v>
      </c>
      <c r="L28" s="4"/>
    </row>
    <row x14ac:dyDescent="0.25" r="29" customHeight="1" ht="18.75">
      <c r="A29" s="1"/>
      <c r="B29" s="45"/>
      <c r="C29" s="39" t="s">
        <v>624</v>
      </c>
      <c r="D29" s="42"/>
      <c r="E29" s="1"/>
      <c r="F29" s="1"/>
      <c r="G29" s="1"/>
      <c r="H29" s="1"/>
      <c r="I29" s="1"/>
      <c r="J29" s="45"/>
      <c r="K29" s="40" t="s">
        <v>624</v>
      </c>
      <c r="L29" s="4"/>
    </row>
    <row x14ac:dyDescent="0.25" r="30" customHeight="1" ht="18.75">
      <c r="A30" s="1"/>
      <c r="B30" s="45"/>
      <c r="C30" s="39" t="s">
        <v>624</v>
      </c>
      <c r="D30" s="42"/>
      <c r="E30" s="1"/>
      <c r="F30" s="1"/>
      <c r="G30" s="1"/>
      <c r="H30" s="1"/>
      <c r="I30" s="1"/>
      <c r="J30" s="45"/>
      <c r="K30" s="40" t="s">
        <v>624</v>
      </c>
      <c r="L30" s="4"/>
    </row>
    <row x14ac:dyDescent="0.25" r="31" customHeight="1" ht="18.75">
      <c r="A31" s="1"/>
      <c r="B31" s="45"/>
      <c r="C31" s="39" t="s">
        <v>624</v>
      </c>
      <c r="D31" s="42"/>
      <c r="E31" s="1"/>
      <c r="F31" s="1"/>
      <c r="G31" s="1"/>
      <c r="H31" s="1"/>
      <c r="I31" s="1"/>
      <c r="J31" s="45"/>
      <c r="K31" s="40" t="s">
        <v>624</v>
      </c>
      <c r="L31" s="4"/>
    </row>
    <row x14ac:dyDescent="0.25" r="32" customHeight="1" ht="18.75">
      <c r="A32" s="1"/>
      <c r="B32" s="45"/>
      <c r="C32" s="39" t="s">
        <v>624</v>
      </c>
      <c r="D32" s="42"/>
      <c r="E32" s="1"/>
      <c r="F32" s="1"/>
      <c r="G32" s="1"/>
      <c r="H32" s="1"/>
      <c r="I32" s="1"/>
      <c r="J32" s="45"/>
      <c r="K32" s="40" t="s">
        <v>624</v>
      </c>
      <c r="L32" s="4"/>
    </row>
    <row x14ac:dyDescent="0.25" r="33" customHeight="1" ht="18.75">
      <c r="A33" s="1"/>
      <c r="B33" s="45"/>
      <c r="C33" s="39" t="s">
        <v>624</v>
      </c>
      <c r="D33" s="42"/>
      <c r="E33" s="1"/>
      <c r="F33" s="1"/>
      <c r="G33" s="1"/>
      <c r="H33" s="1"/>
      <c r="I33" s="1"/>
      <c r="J33" s="45"/>
      <c r="K33" s="40" t="s">
        <v>624</v>
      </c>
      <c r="L33" s="4"/>
    </row>
    <row x14ac:dyDescent="0.25" r="34" customHeight="1" ht="18.75">
      <c r="A34" s="1"/>
      <c r="B34" s="45"/>
      <c r="C34" s="39" t="s">
        <v>624</v>
      </c>
      <c r="D34" s="42"/>
      <c r="E34" s="1"/>
      <c r="F34" s="1"/>
      <c r="G34" s="1"/>
      <c r="H34" s="1"/>
      <c r="I34" s="1"/>
      <c r="J34" s="45"/>
      <c r="K34" s="40" t="s">
        <v>624</v>
      </c>
      <c r="L34" s="4"/>
    </row>
    <row x14ac:dyDescent="0.25" r="35" customHeight="1" ht="18.75">
      <c r="A35" s="1"/>
      <c r="B35" s="45"/>
      <c r="C35" s="39" t="s">
        <v>624</v>
      </c>
      <c r="D35" s="42"/>
      <c r="E35" s="1"/>
      <c r="F35" s="1"/>
      <c r="G35" s="1"/>
      <c r="H35" s="1"/>
      <c r="I35" s="1"/>
      <c r="J35" s="45"/>
      <c r="K35" s="40" t="s">
        <v>624</v>
      </c>
      <c r="L35" s="4"/>
    </row>
    <row x14ac:dyDescent="0.25" r="36" customHeight="1" ht="18.75">
      <c r="A36" s="1"/>
      <c r="B36" s="45"/>
      <c r="C36" s="39" t="s">
        <v>624</v>
      </c>
      <c r="D36" s="42"/>
      <c r="E36" s="1"/>
      <c r="F36" s="1"/>
      <c r="G36" s="1"/>
      <c r="H36" s="1"/>
      <c r="I36" s="1"/>
      <c r="J36" s="45"/>
      <c r="K36" s="40" t="s">
        <v>624</v>
      </c>
      <c r="L36" s="4"/>
    </row>
    <row x14ac:dyDescent="0.25" r="37" customHeight="1" ht="18.75">
      <c r="A37" s="1"/>
      <c r="B37" s="45"/>
      <c r="C37" s="39" t="s">
        <v>624</v>
      </c>
      <c r="D37" s="42"/>
      <c r="E37" s="1"/>
      <c r="F37" s="1"/>
      <c r="G37" s="1"/>
      <c r="H37" s="1"/>
      <c r="I37" s="1"/>
      <c r="J37" s="45"/>
      <c r="K37" s="40" t="s">
        <v>624</v>
      </c>
      <c r="L37" s="4"/>
    </row>
    <row x14ac:dyDescent="0.25" r="38" customHeight="1" ht="18.75">
      <c r="A38" s="1"/>
      <c r="B38" s="45"/>
      <c r="C38" s="39" t="s">
        <v>624</v>
      </c>
      <c r="D38" s="42"/>
      <c r="E38" s="1"/>
      <c r="F38" s="1"/>
      <c r="G38" s="1"/>
      <c r="H38" s="1"/>
      <c r="I38" s="1"/>
      <c r="J38" s="45"/>
      <c r="K38" s="40" t="s">
        <v>624</v>
      </c>
      <c r="L38" s="4"/>
    </row>
    <row x14ac:dyDescent="0.25" r="39" customHeight="1" ht="18.75">
      <c r="A39" s="1"/>
      <c r="B39" s="45"/>
      <c r="C39" s="39" t="s">
        <v>624</v>
      </c>
      <c r="D39" s="42"/>
      <c r="E39" s="1"/>
      <c r="F39" s="1"/>
      <c r="G39" s="1"/>
      <c r="H39" s="1"/>
      <c r="I39" s="1"/>
      <c r="J39" s="45"/>
      <c r="K39" s="40" t="s">
        <v>624</v>
      </c>
      <c r="L39" s="4"/>
    </row>
    <row x14ac:dyDescent="0.25" r="40" customHeight="1" ht="18.75">
      <c r="A40" s="1"/>
      <c r="B40" s="45"/>
      <c r="C40" s="39" t="s">
        <v>624</v>
      </c>
      <c r="D40" s="42"/>
      <c r="E40" s="1"/>
      <c r="F40" s="1"/>
      <c r="G40" s="1"/>
      <c r="H40" s="1"/>
      <c r="I40" s="1"/>
      <c r="J40" s="45"/>
      <c r="K40" s="40" t="s">
        <v>624</v>
      </c>
      <c r="L40" s="4"/>
    </row>
    <row x14ac:dyDescent="0.25" r="41" customHeight="1" ht="18.75">
      <c r="A41" s="1"/>
      <c r="B41" s="45"/>
      <c r="C41" s="39" t="s">
        <v>624</v>
      </c>
      <c r="D41" s="42"/>
      <c r="E41" s="1"/>
      <c r="F41" s="1"/>
      <c r="G41" s="1"/>
      <c r="H41" s="1"/>
      <c r="I41" s="1"/>
      <c r="J41" s="45"/>
      <c r="K41" s="40" t="s">
        <v>624</v>
      </c>
      <c r="L41" s="4"/>
    </row>
    <row x14ac:dyDescent="0.25" r="42" customHeight="1" ht="18.75">
      <c r="A42" s="1"/>
      <c r="B42" s="45"/>
      <c r="C42" s="39" t="s">
        <v>624</v>
      </c>
      <c r="D42" s="42"/>
      <c r="E42" s="1"/>
      <c r="F42" s="1"/>
      <c r="G42" s="1"/>
      <c r="H42" s="1"/>
      <c r="I42" s="1"/>
      <c r="J42" s="45"/>
      <c r="K42" s="40" t="s">
        <v>624</v>
      </c>
      <c r="L42" s="4"/>
    </row>
    <row x14ac:dyDescent="0.25" r="43" customHeight="1" ht="18.75">
      <c r="A43" s="1"/>
      <c r="B43" s="45"/>
      <c r="C43" s="39" t="s">
        <v>624</v>
      </c>
      <c r="D43" s="42"/>
      <c r="E43" s="1"/>
      <c r="F43" s="1"/>
      <c r="G43" s="1"/>
      <c r="H43" s="1"/>
      <c r="I43" s="1"/>
      <c r="J43" s="45"/>
      <c r="K43" s="40" t="s">
        <v>624</v>
      </c>
      <c r="L43" s="4"/>
    </row>
    <row x14ac:dyDescent="0.25" r="44" customHeight="1" ht="18.75">
      <c r="A44" s="1"/>
      <c r="B44" s="45"/>
      <c r="C44" s="39" t="s">
        <v>624</v>
      </c>
      <c r="D44" s="42"/>
      <c r="E44" s="1"/>
      <c r="F44" s="1"/>
      <c r="G44" s="1"/>
      <c r="H44" s="1"/>
      <c r="I44" s="1"/>
      <c r="J44" s="45"/>
      <c r="K44" s="40" t="s">
        <v>624</v>
      </c>
      <c r="L44" s="4"/>
    </row>
    <row x14ac:dyDescent="0.25" r="45" customHeight="1" ht="18.75">
      <c r="A45" s="1"/>
      <c r="B45" s="45"/>
      <c r="C45" s="39" t="s">
        <v>624</v>
      </c>
      <c r="D45" s="42"/>
      <c r="E45" s="1"/>
      <c r="F45" s="1"/>
      <c r="G45" s="1"/>
      <c r="H45" s="1"/>
      <c r="I45" s="1"/>
      <c r="J45" s="46"/>
      <c r="K45" s="40" t="s">
        <v>624</v>
      </c>
      <c r="L45" s="4"/>
    </row>
    <row x14ac:dyDescent="0.25" r="46" customHeight="1" ht="18.75">
      <c r="A46" s="1"/>
      <c r="B46" s="45"/>
      <c r="C46" s="39" t="s">
        <v>624</v>
      </c>
      <c r="D46" s="42"/>
      <c r="E46" s="1"/>
      <c r="F46" s="1"/>
      <c r="G46" s="1"/>
      <c r="H46" s="1"/>
      <c r="I46" s="1"/>
      <c r="J46" s="17" t="s">
        <v>571</v>
      </c>
      <c r="K46" s="40" t="s">
        <v>609</v>
      </c>
      <c r="L46" s="4"/>
    </row>
    <row x14ac:dyDescent="0.25" r="47" customHeight="1" ht="18.75">
      <c r="A47" s="1"/>
      <c r="B47" s="46"/>
      <c r="C47" s="39" t="s">
        <v>624</v>
      </c>
      <c r="D47" s="42"/>
      <c r="E47" s="1"/>
      <c r="F47" s="1"/>
      <c r="G47" s="1"/>
      <c r="H47" s="1"/>
      <c r="I47" s="1"/>
      <c r="J47" s="17" t="s">
        <v>572</v>
      </c>
      <c r="K47" s="40" t="s">
        <v>584</v>
      </c>
      <c r="L47" s="4"/>
    </row>
    <row x14ac:dyDescent="0.25" r="48" customHeight="1" ht="18.75">
      <c r="A48" s="1"/>
      <c r="B48" s="17" t="s">
        <v>571</v>
      </c>
      <c r="C48" s="39" t="s">
        <v>609</v>
      </c>
      <c r="D48" s="1"/>
      <c r="E48" s="1"/>
      <c r="F48" s="1"/>
      <c r="G48" s="1"/>
      <c r="H48" s="1"/>
      <c r="I48" s="1"/>
      <c r="J48" s="1"/>
      <c r="K48" s="6"/>
      <c r="L48" s="1"/>
    </row>
    <row x14ac:dyDescent="0.25" r="49" customHeight="1" ht="18.75">
      <c r="A49" s="1"/>
      <c r="B49" s="17" t="s">
        <v>572</v>
      </c>
      <c r="C49" s="39" t="s">
        <v>584</v>
      </c>
      <c r="D49" s="1"/>
      <c r="E49" s="1"/>
      <c r="F49" s="1"/>
      <c r="G49" s="1"/>
      <c r="H49" s="1"/>
      <c r="I49" s="1"/>
      <c r="J49" s="1"/>
      <c r="K49" s="6"/>
      <c r="L49" s="1"/>
    </row>
    <row x14ac:dyDescent="0.25" r="50" customHeight="1" ht="18.75">
      <c r="A50" s="1"/>
      <c r="B50" s="1"/>
      <c r="C50" s="7"/>
      <c r="D50" s="1"/>
      <c r="E50" s="1"/>
      <c r="F50" s="1"/>
      <c r="G50" s="1"/>
      <c r="H50" s="1"/>
      <c r="I50" s="1"/>
      <c r="J50" s="1"/>
      <c r="K50" s="6"/>
      <c r="L50" s="1"/>
    </row>
    <row x14ac:dyDescent="0.25" r="51" customHeight="1" ht="16.15">
      <c r="A51" s="1"/>
      <c r="B51" s="1"/>
      <c r="C51" s="7"/>
      <c r="D51" s="1"/>
      <c r="E51" s="1"/>
      <c r="F51" s="1"/>
      <c r="G51" s="1"/>
      <c r="H51" s="1"/>
      <c r="I51" s="1"/>
      <c r="J51" s="1"/>
      <c r="K51" s="6"/>
      <c r="L51" s="1"/>
    </row>
  </sheetData>
  <mergeCells count="2">
    <mergeCell ref="J26:J45"/>
    <mergeCell ref="B28:B4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T11"/>
  <sheetViews>
    <sheetView workbookViewId="0" tabSelected="1"/>
  </sheetViews>
  <sheetFormatPr defaultRowHeight="15" x14ac:dyDescent="0.25"/>
  <cols>
    <col min="1" max="1" style="5" width="10.290714285714287" customWidth="1" bestFit="1"/>
    <col min="2" max="2" style="5" width="24.14785714285714" customWidth="1" bestFit="1"/>
    <col min="3" max="3" style="5" width="11.290714285714287" customWidth="1" bestFit="1"/>
    <col min="4" max="4" style="5" width="14.719285714285713" customWidth="1" bestFit="1"/>
    <col min="5" max="5" style="34" width="11.147857142857141" customWidth="1" bestFit="1"/>
    <col min="6" max="6" style="5" width="10.719285714285713" customWidth="1" bestFit="1"/>
    <col min="7" max="7" style="35" width="9.576428571428572" customWidth="1" bestFit="1"/>
    <col min="8" max="8" style="15" width="15.005" customWidth="1" bestFit="1"/>
    <col min="9" max="9" style="15" width="14.576428571428572" customWidth="1" bestFit="1"/>
    <col min="10" max="10" style="5" width="16.719285714285714" customWidth="1" bestFit="1"/>
    <col min="11" max="11" style="28" width="13.862142857142858" customWidth="1" bestFit="1"/>
    <col min="12" max="12" style="5" width="10.719285714285713" customWidth="1" bestFit="1"/>
    <col min="13" max="13" style="5" width="13.576428571428572" customWidth="1" bestFit="1"/>
    <col min="14" max="14" style="5" width="13.576428571428572" customWidth="1" bestFit="1"/>
    <col min="15" max="15" style="5" width="21.719285714285714" customWidth="1" bestFit="1"/>
    <col min="16" max="16" style="5" width="22.005" customWidth="1" bestFit="1"/>
    <col min="17" max="17" style="5" width="63.005" customWidth="1" bestFit="1"/>
    <col min="18" max="18" style="5" width="255.71928571428572" customWidth="1" bestFit="1"/>
    <col min="19" max="19" style="5" width="53.29071428571429" customWidth="1" bestFit="1"/>
    <col min="20" max="20" style="15" width="10.719285714285713" customWidth="1" bestFit="1"/>
  </cols>
  <sheetData>
    <row x14ac:dyDescent="0.25" r="1" customHeight="1" ht="18.75">
      <c r="A1" s="29"/>
      <c r="B1" s="29" t="s">
        <v>559</v>
      </c>
      <c r="C1" s="29" t="s">
        <v>561</v>
      </c>
      <c r="D1" s="29" t="s">
        <v>562</v>
      </c>
      <c r="E1" s="30" t="s">
        <v>573</v>
      </c>
      <c r="F1" s="29" t="s">
        <v>0</v>
      </c>
      <c r="G1" s="31" t="s">
        <v>564</v>
      </c>
      <c r="H1" s="32" t="s">
        <v>574</v>
      </c>
      <c r="I1" s="32" t="s">
        <v>575</v>
      </c>
      <c r="J1" s="29" t="s">
        <v>567</v>
      </c>
      <c r="K1" s="30" t="s">
        <v>568</v>
      </c>
      <c r="L1" s="29" t="s">
        <v>2</v>
      </c>
      <c r="M1" s="29" t="s">
        <v>3</v>
      </c>
      <c r="N1" s="29" t="s">
        <v>4</v>
      </c>
      <c r="O1" s="29" t="s">
        <v>576</v>
      </c>
      <c r="P1" s="29" t="s">
        <v>570</v>
      </c>
      <c r="Q1" s="29" t="s">
        <v>6</v>
      </c>
      <c r="R1" s="29" t="s">
        <v>571</v>
      </c>
      <c r="S1" s="29" t="s">
        <v>572</v>
      </c>
      <c r="T1" s="32" t="s">
        <v>549</v>
      </c>
    </row>
    <row x14ac:dyDescent="0.25" r="2" customHeight="1" ht="32.25">
      <c r="A2" s="1"/>
      <c r="B2" s="1" t="s">
        <v>577</v>
      </c>
      <c r="C2" s="1" t="s">
        <v>578</v>
      </c>
      <c r="D2" s="1" t="s">
        <v>579</v>
      </c>
      <c r="E2" s="25">
        <v>500</v>
      </c>
      <c r="F2" s="1" t="s">
        <v>171</v>
      </c>
      <c r="G2" s="33">
        <v>0.018</v>
      </c>
      <c r="H2" s="27">
        <v>42983</v>
      </c>
      <c r="I2" s="27">
        <v>44805</v>
      </c>
      <c r="J2" s="1" t="s">
        <v>14</v>
      </c>
      <c r="K2" s="16" t="s">
        <v>580</v>
      </c>
      <c r="L2" s="1" t="s">
        <v>10</v>
      </c>
      <c r="M2" s="1" t="s">
        <v>11</v>
      </c>
      <c r="N2" s="1" t="s">
        <v>581</v>
      </c>
      <c r="O2" s="1" t="s">
        <v>130</v>
      </c>
      <c r="P2" s="1" t="s">
        <v>582</v>
      </c>
      <c r="Q2" s="1"/>
      <c r="R2" s="1" t="s">
        <v>583</v>
      </c>
      <c r="S2" s="1" t="s">
        <v>584</v>
      </c>
      <c r="T2" s="27">
        <v>45892</v>
      </c>
    </row>
    <row x14ac:dyDescent="0.25" r="3" customHeight="1" ht="32.25">
      <c r="A3" s="1"/>
      <c r="B3" s="1" t="s">
        <v>585</v>
      </c>
      <c r="C3" s="1" t="s">
        <v>578</v>
      </c>
      <c r="D3" s="1" t="s">
        <v>579</v>
      </c>
      <c r="E3" s="25">
        <v>500</v>
      </c>
      <c r="F3" s="1" t="s">
        <v>171</v>
      </c>
      <c r="G3" s="33">
        <v>0.0165</v>
      </c>
      <c r="H3" s="27">
        <v>43677</v>
      </c>
      <c r="I3" s="27">
        <v>45504</v>
      </c>
      <c r="J3" s="1" t="s">
        <v>14</v>
      </c>
      <c r="K3" s="16" t="s">
        <v>580</v>
      </c>
      <c r="L3" s="1" t="s">
        <v>10</v>
      </c>
      <c r="M3" s="1" t="s">
        <v>11</v>
      </c>
      <c r="N3" s="1" t="s">
        <v>581</v>
      </c>
      <c r="O3" s="1" t="s">
        <v>19</v>
      </c>
      <c r="P3" s="1" t="s">
        <v>586</v>
      </c>
      <c r="Q3" s="1" t="s">
        <v>587</v>
      </c>
      <c r="R3" s="1" t="s">
        <v>588</v>
      </c>
      <c r="S3" s="1" t="s">
        <v>584</v>
      </c>
      <c r="T3" s="27">
        <v>45892</v>
      </c>
    </row>
    <row x14ac:dyDescent="0.25" r="4" customHeight="1" ht="18.75">
      <c r="A4" s="1"/>
      <c r="B4" s="1" t="s">
        <v>589</v>
      </c>
      <c r="C4" s="1" t="s">
        <v>578</v>
      </c>
      <c r="D4" s="1" t="s">
        <v>579</v>
      </c>
      <c r="E4" s="25">
        <v>300</v>
      </c>
      <c r="F4" s="1" t="s">
        <v>507</v>
      </c>
      <c r="G4" s="33">
        <v>0.00875</v>
      </c>
      <c r="H4" s="27">
        <v>41662</v>
      </c>
      <c r="I4" s="27">
        <v>42765</v>
      </c>
      <c r="J4" s="1" t="s">
        <v>14</v>
      </c>
      <c r="K4" s="16" t="s">
        <v>580</v>
      </c>
      <c r="L4" s="1" t="s">
        <v>10</v>
      </c>
      <c r="M4" s="1" t="s">
        <v>11</v>
      </c>
      <c r="N4" s="1" t="s">
        <v>581</v>
      </c>
      <c r="O4" s="1" t="s">
        <v>590</v>
      </c>
      <c r="P4" s="1" t="s">
        <v>582</v>
      </c>
      <c r="Q4" s="1"/>
      <c r="R4" s="1" t="s">
        <v>591</v>
      </c>
      <c r="S4" s="1" t="s">
        <v>584</v>
      </c>
      <c r="T4" s="27">
        <v>45892</v>
      </c>
    </row>
    <row x14ac:dyDescent="0.25" r="5" customHeight="1" ht="18.75">
      <c r="A5" s="1"/>
      <c r="B5" s="1" t="s">
        <v>592</v>
      </c>
      <c r="C5" s="1" t="s">
        <v>578</v>
      </c>
      <c r="D5" s="1" t="s">
        <v>579</v>
      </c>
      <c r="E5" s="25">
        <v>300</v>
      </c>
      <c r="F5" s="1" t="s">
        <v>507</v>
      </c>
      <c r="G5" s="33">
        <v>0.0125</v>
      </c>
      <c r="H5" s="27">
        <v>42339</v>
      </c>
      <c r="I5" s="27">
        <v>43444</v>
      </c>
      <c r="J5" s="1" t="s">
        <v>14</v>
      </c>
      <c r="K5" s="16" t="s">
        <v>580</v>
      </c>
      <c r="L5" s="1" t="s">
        <v>10</v>
      </c>
      <c r="M5" s="1" t="s">
        <v>11</v>
      </c>
      <c r="N5" s="1" t="s">
        <v>581</v>
      </c>
      <c r="O5" s="1" t="s">
        <v>590</v>
      </c>
      <c r="P5" s="1" t="s">
        <v>582</v>
      </c>
      <c r="Q5" s="1"/>
      <c r="R5" s="1" t="s">
        <v>591</v>
      </c>
      <c r="S5" s="1" t="s">
        <v>584</v>
      </c>
      <c r="T5" s="27">
        <v>45892</v>
      </c>
    </row>
    <row x14ac:dyDescent="0.25" r="6" customHeight="1" ht="18.75">
      <c r="A6" s="1"/>
      <c r="B6" s="1" t="s">
        <v>593</v>
      </c>
      <c r="C6" s="1" t="s">
        <v>578</v>
      </c>
      <c r="D6" s="1" t="s">
        <v>594</v>
      </c>
      <c r="E6" s="25">
        <v>1000</v>
      </c>
      <c r="F6" s="1" t="s">
        <v>507</v>
      </c>
      <c r="G6" s="33">
        <v>0.0475</v>
      </c>
      <c r="H6" s="27">
        <v>45448</v>
      </c>
      <c r="I6" s="27">
        <v>49100</v>
      </c>
      <c r="J6" s="1" t="s">
        <v>145</v>
      </c>
      <c r="K6" s="16" t="s">
        <v>580</v>
      </c>
      <c r="L6" s="1" t="s">
        <v>10</v>
      </c>
      <c r="M6" s="1" t="s">
        <v>11</v>
      </c>
      <c r="N6" s="1" t="s">
        <v>581</v>
      </c>
      <c r="O6" s="1" t="s">
        <v>19</v>
      </c>
      <c r="P6" s="1" t="s">
        <v>582</v>
      </c>
      <c r="Q6" s="1"/>
      <c r="R6" s="1" t="s">
        <v>595</v>
      </c>
      <c r="S6" s="1" t="s">
        <v>584</v>
      </c>
      <c r="T6" s="27">
        <v>45892</v>
      </c>
    </row>
    <row x14ac:dyDescent="0.25" r="7" customHeight="1" ht="18.75">
      <c r="A7" s="1"/>
      <c r="B7" s="1" t="s">
        <v>596</v>
      </c>
      <c r="C7" s="1" t="s">
        <v>597</v>
      </c>
      <c r="D7" s="1" t="s">
        <v>579</v>
      </c>
      <c r="E7" s="25">
        <v>500</v>
      </c>
      <c r="F7" s="1" t="s">
        <v>507</v>
      </c>
      <c r="G7" s="33">
        <v>0.01625</v>
      </c>
      <c r="H7" s="27">
        <v>42887</v>
      </c>
      <c r="I7" s="27">
        <v>43983</v>
      </c>
      <c r="J7" s="1" t="s">
        <v>14</v>
      </c>
      <c r="K7" s="25">
        <v>0</v>
      </c>
      <c r="L7" s="1" t="s">
        <v>10</v>
      </c>
      <c r="M7" s="1" t="s">
        <v>11</v>
      </c>
      <c r="N7" s="1" t="s">
        <v>581</v>
      </c>
      <c r="O7" s="1" t="s">
        <v>590</v>
      </c>
      <c r="P7" s="1" t="s">
        <v>582</v>
      </c>
      <c r="Q7" s="1"/>
      <c r="R7" s="1" t="s">
        <v>598</v>
      </c>
      <c r="S7" s="1" t="s">
        <v>584</v>
      </c>
      <c r="T7" s="27">
        <v>45892</v>
      </c>
    </row>
    <row x14ac:dyDescent="0.25" r="8" customHeight="1" ht="58.5">
      <c r="A8" s="1"/>
      <c r="B8" s="1" t="s">
        <v>599</v>
      </c>
      <c r="C8" s="1" t="s">
        <v>600</v>
      </c>
      <c r="D8" s="1" t="s">
        <v>601</v>
      </c>
      <c r="E8" s="25">
        <v>300</v>
      </c>
      <c r="F8" s="1" t="s">
        <v>507</v>
      </c>
      <c r="G8" s="33">
        <v>0.09375</v>
      </c>
      <c r="H8" s="27">
        <v>45188</v>
      </c>
      <c r="I8" s="27" t="s">
        <v>602</v>
      </c>
      <c r="J8" s="1" t="s">
        <v>14</v>
      </c>
      <c r="K8" s="16" t="s">
        <v>580</v>
      </c>
      <c r="L8" s="1" t="s">
        <v>93</v>
      </c>
      <c r="M8" s="1" t="s">
        <v>581</v>
      </c>
      <c r="N8" s="1" t="s">
        <v>101</v>
      </c>
      <c r="O8" s="1" t="s">
        <v>19</v>
      </c>
      <c r="P8" s="1" t="s">
        <v>582</v>
      </c>
      <c r="Q8" s="1"/>
      <c r="R8" s="1" t="s">
        <v>603</v>
      </c>
      <c r="S8" s="1" t="s">
        <v>604</v>
      </c>
      <c r="T8" s="27">
        <v>45892</v>
      </c>
    </row>
    <row x14ac:dyDescent="0.25" r="9" customHeight="1" ht="18.75">
      <c r="A9" s="1"/>
      <c r="B9" s="1" t="s">
        <v>605</v>
      </c>
      <c r="C9" s="1" t="s">
        <v>600</v>
      </c>
      <c r="D9" s="1" t="s">
        <v>606</v>
      </c>
      <c r="E9" s="25">
        <v>300</v>
      </c>
      <c r="F9" s="1" t="s">
        <v>507</v>
      </c>
      <c r="G9" s="33">
        <v>0.04875</v>
      </c>
      <c r="H9" s="27" t="s">
        <v>602</v>
      </c>
      <c r="I9" s="27">
        <v>44334</v>
      </c>
      <c r="J9" s="1" t="s">
        <v>14</v>
      </c>
      <c r="K9" s="16" t="s">
        <v>580</v>
      </c>
      <c r="L9" s="1" t="s">
        <v>93</v>
      </c>
      <c r="M9" s="1" t="s">
        <v>581</v>
      </c>
      <c r="N9" s="1" t="s">
        <v>101</v>
      </c>
      <c r="O9" s="1" t="s">
        <v>46</v>
      </c>
      <c r="P9" s="1" t="s">
        <v>582</v>
      </c>
      <c r="Q9" s="1"/>
      <c r="R9" s="1" t="s">
        <v>607</v>
      </c>
      <c r="S9" s="1" t="s">
        <v>584</v>
      </c>
      <c r="T9" s="27">
        <v>45892</v>
      </c>
    </row>
    <row x14ac:dyDescent="0.25" r="10" customHeight="1" ht="18.75">
      <c r="A10" s="1"/>
      <c r="B10" s="1" t="s">
        <v>608</v>
      </c>
      <c r="C10" s="1" t="s">
        <v>600</v>
      </c>
      <c r="D10" s="1" t="s">
        <v>606</v>
      </c>
      <c r="E10" s="25">
        <v>300</v>
      </c>
      <c r="F10" s="1" t="s">
        <v>507</v>
      </c>
      <c r="G10" s="33">
        <v>0.07625</v>
      </c>
      <c r="H10" s="27">
        <v>42822</v>
      </c>
      <c r="I10" s="27">
        <v>46475</v>
      </c>
      <c r="J10" s="1" t="s">
        <v>14</v>
      </c>
      <c r="K10" s="16" t="s">
        <v>580</v>
      </c>
      <c r="L10" s="1" t="s">
        <v>93</v>
      </c>
      <c r="M10" s="1" t="s">
        <v>581</v>
      </c>
      <c r="N10" s="1" t="s">
        <v>101</v>
      </c>
      <c r="O10" s="1" t="s">
        <v>20</v>
      </c>
      <c r="P10" s="1" t="s">
        <v>582</v>
      </c>
      <c r="Q10" s="1"/>
      <c r="R10" s="1" t="s">
        <v>609</v>
      </c>
      <c r="S10" s="1" t="s">
        <v>610</v>
      </c>
      <c r="T10" s="27">
        <v>45892</v>
      </c>
    </row>
    <row x14ac:dyDescent="0.25" r="11" customHeight="1" ht="18.75">
      <c r="A11" s="1"/>
      <c r="B11" s="1" t="s">
        <v>611</v>
      </c>
      <c r="C11" s="1" t="s">
        <v>600</v>
      </c>
      <c r="D11" s="1" t="s">
        <v>606</v>
      </c>
      <c r="E11" s="25">
        <v>350</v>
      </c>
      <c r="F11" s="1" t="s">
        <v>507</v>
      </c>
      <c r="G11" s="33">
        <v>0.05875</v>
      </c>
      <c r="H11" s="27">
        <v>44210</v>
      </c>
      <c r="I11" s="27">
        <v>46036</v>
      </c>
      <c r="J11" s="1" t="s">
        <v>14</v>
      </c>
      <c r="K11" s="16" t="s">
        <v>580</v>
      </c>
      <c r="L11" s="1" t="s">
        <v>93</v>
      </c>
      <c r="M11" s="1" t="s">
        <v>581</v>
      </c>
      <c r="N11" s="1" t="s">
        <v>101</v>
      </c>
      <c r="O11" s="1" t="s">
        <v>19</v>
      </c>
      <c r="P11" s="1" t="s">
        <v>582</v>
      </c>
      <c r="Q11" s="1"/>
      <c r="R11" s="1" t="s">
        <v>612</v>
      </c>
      <c r="S11" s="1" t="s">
        <v>584</v>
      </c>
      <c r="T11" s="27">
        <v>45892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12"/>
  <sheetViews>
    <sheetView workbookViewId="0"/>
  </sheetViews>
  <sheetFormatPr defaultRowHeight="15" x14ac:dyDescent="0.25"/>
  <cols>
    <col min="1" max="1" style="5" width="13.576428571428572" customWidth="1" bestFit="1"/>
    <col min="2" max="2" style="5" width="13.576428571428572" customWidth="1" bestFit="1"/>
    <col min="3" max="3" style="5" width="18.290714285714284" customWidth="1" bestFit="1"/>
    <col min="4" max="4" style="5" width="13.576428571428572" customWidth="1" bestFit="1"/>
    <col min="5" max="5" style="5" width="13.576428571428572" customWidth="1" bestFit="1"/>
    <col min="6" max="6" style="5" width="13.576428571428572" customWidth="1" bestFit="1"/>
    <col min="7" max="7" style="5" width="13.576428571428572" customWidth="1" bestFit="1"/>
    <col min="8" max="8" style="5" width="13.576428571428572" customWidth="1" bestFit="1"/>
    <col min="9" max="9" style="5" width="10.290714285714287" customWidth="1" bestFit="1"/>
    <col min="10" max="10" style="5" width="10.290714285714287" customWidth="1" bestFit="1"/>
    <col min="11" max="11" style="5" width="13.576428571428572" customWidth="1" bestFit="1"/>
    <col min="12" max="12" style="28" width="13.576428571428572" customWidth="1" bestFit="1"/>
    <col min="13" max="13" style="5" width="13.576428571428572" customWidth="1" bestFit="1"/>
    <col min="14" max="14" style="5" width="13.576428571428572" customWidth="1" bestFit="1"/>
    <col min="15" max="15" style="5" width="13.576428571428572" customWidth="1" bestFit="1"/>
    <col min="16" max="16" style="5" width="13.576428571428572" customWidth="1" bestFit="1"/>
    <col min="17" max="17" style="5" width="13.576428571428572" customWidth="1" bestFit="1"/>
    <col min="18" max="18" style="5" width="8.862142857142858" customWidth="1" bestFit="1"/>
    <col min="19" max="19" style="5" width="8.862142857142858" customWidth="1" bestFit="1"/>
    <col min="20" max="20" style="15" width="13.576428571428572" customWidth="1" bestFit="1"/>
    <col min="21" max="21" style="28" width="13.576428571428572" customWidth="1" bestFit="1"/>
    <col min="22" max="22" style="28" width="8.862142857142858" customWidth="1" bestFit="1"/>
    <col min="23" max="23" style="28" width="13.576428571428572" customWidth="1" bestFit="1"/>
    <col min="24" max="24" style="28" width="13.576428571428572" customWidth="1" bestFit="1"/>
    <col min="25" max="25" style="28" width="13.576428571428572" customWidth="1" bestFit="1"/>
    <col min="26" max="26" style="28" width="13.576428571428572" customWidth="1" bestFit="1"/>
    <col min="27" max="27" style="28" width="13.576428571428572" customWidth="1" bestFit="1"/>
    <col min="28" max="28" style="28" width="13.576428571428572" customWidth="1" bestFit="1"/>
    <col min="29" max="29" style="28" width="13.576428571428572" customWidth="1" bestFit="1"/>
    <col min="30" max="30" style="28" width="13.576428571428572" customWidth="1" bestFit="1"/>
    <col min="31" max="31" style="28" width="13.576428571428572" customWidth="1" bestFit="1"/>
    <col min="32" max="32" style="28" width="13.576428571428572" customWidth="1" bestFit="1"/>
    <col min="33" max="33" style="28" width="13.576428571428572" customWidth="1" bestFit="1"/>
    <col min="34" max="34" style="28" width="13.576428571428572" customWidth="1" bestFit="1"/>
    <col min="35" max="35" style="28" width="13.576428571428572" customWidth="1" bestFit="1"/>
    <col min="36" max="36" style="28" width="13.576428571428572" customWidth="1" bestFit="1"/>
    <col min="37" max="37" style="28" width="13.576428571428572" customWidth="1" bestFit="1"/>
    <col min="38" max="38" style="28" width="13.576428571428572" customWidth="1" bestFit="1"/>
    <col min="39" max="39" style="28" width="13.576428571428572" customWidth="1" bestFit="1"/>
    <col min="40" max="40" style="28" width="13.576428571428572" customWidth="1" bestFit="1"/>
    <col min="41" max="41" style="28" width="13.576428571428572" customWidth="1" bestFit="1"/>
    <col min="42" max="42" style="28" width="13.576428571428572" customWidth="1" bestFit="1"/>
    <col min="43" max="43" style="28" width="13.576428571428572" customWidth="1" bestFit="1"/>
    <col min="44" max="44" style="28" width="13.576428571428572" customWidth="1" bestFit="1"/>
    <col min="45" max="45" style="28" width="13.576428571428572" customWidth="1" bestFit="1"/>
    <col min="46" max="46" style="28" width="13.576428571428572" customWidth="1" bestFit="1"/>
    <col min="47" max="47" style="28" width="13.576428571428572" customWidth="1" bestFit="1"/>
    <col min="48" max="48" style="28" width="13.576428571428572" customWidth="1" bestFit="1"/>
    <col min="49" max="49" style="28" width="13.576428571428572" customWidth="1" bestFit="1"/>
    <col min="50" max="50" style="28" width="13.576428571428572" customWidth="1" bestFit="1"/>
    <col min="51" max="51" style="28" width="13.576428571428572" customWidth="1" bestFit="1"/>
    <col min="52" max="52" style="28" width="13.576428571428572" customWidth="1" bestFit="1"/>
    <col min="53" max="53" style="28" width="13.576428571428572" customWidth="1" bestFit="1"/>
    <col min="54" max="54" style="28" width="13.576428571428572" customWidth="1" bestFit="1"/>
    <col min="55" max="55" style="28" width="13.576428571428572" customWidth="1" bestFit="1"/>
    <col min="56" max="56" style="28" width="13.576428571428572" customWidth="1" bestFit="1"/>
    <col min="57" max="57" style="28" width="13.576428571428572" customWidth="1" bestFit="1"/>
    <col min="58" max="58" style="28" width="13.576428571428572" customWidth="1" bestFit="1"/>
    <col min="59" max="59" style="28" width="13.576428571428572" customWidth="1" bestFit="1"/>
    <col min="60" max="60" style="5" width="13.576428571428572" customWidth="1" bestFit="1"/>
  </cols>
  <sheetData>
    <row x14ac:dyDescent="0.25" r="1" customHeight="1" ht="18.7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6"/>
      <c r="M1" s="1"/>
      <c r="N1" s="1"/>
      <c r="O1" s="1"/>
      <c r="P1" s="1"/>
      <c r="Q1" s="1"/>
      <c r="R1" s="1"/>
      <c r="S1" s="1"/>
      <c r="T1" s="7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"/>
    </row>
    <row x14ac:dyDescent="0.25" r="2" customHeight="1" ht="18.75">
      <c r="A2" s="1"/>
      <c r="B2" s="17" t="s">
        <v>559</v>
      </c>
      <c r="C2" s="17" t="s">
        <v>560</v>
      </c>
      <c r="D2" s="17" t="s">
        <v>561</v>
      </c>
      <c r="E2" s="17" t="s">
        <v>562</v>
      </c>
      <c r="F2" s="17" t="s">
        <v>563</v>
      </c>
      <c r="G2" s="17" t="s">
        <v>0</v>
      </c>
      <c r="H2" s="17" t="s">
        <v>564</v>
      </c>
      <c r="I2" s="17" t="s">
        <v>565</v>
      </c>
      <c r="J2" s="17" t="s">
        <v>566</v>
      </c>
      <c r="K2" s="17" t="s">
        <v>567</v>
      </c>
      <c r="L2" s="18"/>
      <c r="M2" s="17" t="s">
        <v>568</v>
      </c>
      <c r="N2" s="17" t="s">
        <v>2</v>
      </c>
      <c r="O2" s="17" t="s">
        <v>3</v>
      </c>
      <c r="P2" s="17" t="s">
        <v>4</v>
      </c>
      <c r="Q2" s="17" t="s">
        <v>569</v>
      </c>
      <c r="R2" s="17" t="s">
        <v>570</v>
      </c>
      <c r="S2" s="19" t="s">
        <v>6</v>
      </c>
      <c r="T2" s="20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18" t="s">
        <v>571</v>
      </c>
      <c r="BH2" s="17" t="s">
        <v>572</v>
      </c>
    </row>
    <row x14ac:dyDescent="0.25" r="3" customHeight="1" ht="18.75">
      <c r="A3" s="1"/>
      <c r="B3" s="23">
        <f>'1.Form'!C12</f>
      </c>
      <c r="C3" s="23">
        <f>'1.Form'!C13</f>
      </c>
      <c r="D3" s="23">
        <f>'1.Form'!C14</f>
      </c>
      <c r="E3" s="23">
        <f>'1.Form'!C15</f>
      </c>
      <c r="F3" s="23">
        <f>'1.Form'!C16</f>
      </c>
      <c r="G3" s="23">
        <f>'1.Form'!C17</f>
      </c>
      <c r="H3" s="24">
        <f>'1.Form'!C18</f>
      </c>
      <c r="I3" s="24">
        <f>'1.Form'!C19</f>
      </c>
      <c r="J3" s="24">
        <f>'1.Form'!C20</f>
      </c>
      <c r="K3" s="23">
        <f>'1.Form'!C21</f>
      </c>
      <c r="L3" s="25">
        <f>'1.Form'!D21</f>
      </c>
      <c r="M3" s="23">
        <f>'1.Form'!C22</f>
      </c>
      <c r="N3" s="23">
        <f>'1.Form'!C23</f>
      </c>
      <c r="O3" s="23">
        <f>'1.Form'!C24</f>
      </c>
      <c r="P3" s="23">
        <f>'1.Form'!C25</f>
      </c>
      <c r="Q3" s="23">
        <f>'1.Form'!C26</f>
      </c>
      <c r="R3" s="23">
        <f>'1.Form'!C27</f>
      </c>
      <c r="S3" s="23">
        <f>'1.Form'!C28</f>
      </c>
      <c r="T3" s="7">
        <f>'1.Form'!C29</f>
      </c>
      <c r="U3" s="16">
        <f>'1.Form'!C30</f>
      </c>
      <c r="V3" s="16">
        <f>'1.Form'!C31</f>
      </c>
      <c r="W3" s="16">
        <f>'1.Form'!C32</f>
      </c>
      <c r="X3" s="16">
        <f>'1.Form'!C33</f>
      </c>
      <c r="Y3" s="16">
        <f>'1.Form'!C34</f>
      </c>
      <c r="Z3" s="16">
        <f>'1.Form'!C35</f>
      </c>
      <c r="AA3" s="16">
        <f>'1.Form'!C36</f>
      </c>
      <c r="AB3" s="16">
        <f>'1.Form'!C37</f>
      </c>
      <c r="AC3" s="16">
        <f>'1.Form'!C38</f>
      </c>
      <c r="AD3" s="16">
        <f>'1.Form'!C39</f>
      </c>
      <c r="AE3" s="16">
        <f>'1.Form'!C40</f>
      </c>
      <c r="AF3" s="16">
        <f>'1.Form'!C41</f>
      </c>
      <c r="AG3" s="16">
        <f>'1.Form'!C42</f>
      </c>
      <c r="AH3" s="16">
        <f>'1.Form'!C43</f>
      </c>
      <c r="AI3" s="16">
        <f>'1.Form'!C44</f>
      </c>
      <c r="AJ3" s="16">
        <f>'1.Form'!C45</f>
      </c>
      <c r="AK3" s="16">
        <f>'1.Form'!C46</f>
      </c>
      <c r="AL3" s="16">
        <f>'1.Form'!C47</f>
      </c>
      <c r="AM3" s="25">
        <f>'1.Form'!D28</f>
      </c>
      <c r="AN3" s="25">
        <f>'1.Form'!D29</f>
      </c>
      <c r="AO3" s="25">
        <f>'1.Form'!D30</f>
      </c>
      <c r="AP3" s="25">
        <f>'1.Form'!D31</f>
      </c>
      <c r="AQ3" s="25">
        <f>'1.Form'!D32</f>
      </c>
      <c r="AR3" s="25">
        <f>'1.Form'!D33</f>
      </c>
      <c r="AS3" s="25">
        <f>'1.Form'!D34</f>
      </c>
      <c r="AT3" s="25">
        <f>'1.Form'!D35</f>
      </c>
      <c r="AU3" s="25">
        <f>'1.Form'!D36</f>
      </c>
      <c r="AV3" s="25">
        <f>'1.Form'!D37</f>
      </c>
      <c r="AW3" s="25">
        <f>'1.Form'!D38</f>
      </c>
      <c r="AX3" s="25">
        <f>'1.Form'!D39</f>
      </c>
      <c r="AY3" s="25">
        <f>'1.Form'!D40</f>
      </c>
      <c r="AZ3" s="25">
        <f>'1.Form'!D41</f>
      </c>
      <c r="BA3" s="25">
        <f>'1.Form'!D42</f>
      </c>
      <c r="BB3" s="25">
        <f>'1.Form'!D43</f>
      </c>
      <c r="BC3" s="25">
        <f>'1.Form'!D44</f>
      </c>
      <c r="BD3" s="25">
        <f>'1.Form'!D45</f>
      </c>
      <c r="BE3" s="25">
        <f>'1.Form'!D46</f>
      </c>
      <c r="BF3" s="25">
        <f>'1.Form'!D47</f>
      </c>
      <c r="BG3" s="16">
        <f>'1.Form'!C48</f>
      </c>
      <c r="BH3" s="23">
        <f>'1.Form'!C49</f>
      </c>
    </row>
    <row x14ac:dyDescent="0.25" r="4" customHeight="1" ht="18.75">
      <c r="A4" s="1"/>
      <c r="B4" s="1"/>
      <c r="C4" s="23">
        <f>IF(C3=0,B3,IF(C3="&lt;enter tap number&gt;",B3,B3&amp;"(Tap "&amp;C3&amp;")"))</f>
      </c>
      <c r="D4" s="1"/>
      <c r="E4" s="1"/>
      <c r="F4" s="1"/>
      <c r="G4" s="1"/>
      <c r="H4" s="1"/>
      <c r="I4" s="1"/>
      <c r="J4" s="1"/>
      <c r="K4" s="1"/>
      <c r="L4" s="16"/>
      <c r="M4" s="1"/>
      <c r="N4" s="1"/>
      <c r="O4" s="1"/>
      <c r="P4" s="1"/>
      <c r="Q4" s="1"/>
      <c r="R4" s="1"/>
      <c r="S4" s="1"/>
      <c r="T4" s="25">
        <f>IF(S3="&lt;Enter name of syndicate member&gt;",1,IF(S3="Other",1,S3))</f>
      </c>
      <c r="U4" s="25">
        <f>IF(T3="&lt;Enter name of syndicate member&gt;",1,IF(T3="Other",1,T3))</f>
      </c>
      <c r="V4" s="25">
        <f>_xlfn._xlws.FILTER(AO7:CB7,AO7:CB7&lt;&gt;1)</f>
      </c>
      <c r="W4" s="25">
        <f>_xlfn._xlws.FILTER(AP7:CC7,AP7:CC7&lt;&gt;1)</f>
      </c>
      <c r="X4" s="25">
        <f>_xlfn._xlws.FILTER(AQ7:CD7,AQ7:CD7&lt;&gt;1)</f>
      </c>
      <c r="Y4" s="25">
        <f>_xlfn._xlws.FILTER(AR7:CE7,AR7:CE7&lt;&gt;1)</f>
      </c>
      <c r="Z4" s="25">
        <f>_xlfn._xlws.FILTER(AS7:CF7,AS7:CF7&lt;&gt;1)</f>
      </c>
      <c r="AA4" s="25">
        <f>_xlfn._xlws.FILTER(AT7:CG7,AT7:CG7&lt;&gt;1)</f>
      </c>
      <c r="AB4" s="25">
        <f>_xlfn._xlws.FILTER(AU7:CH7,AU7:CH7&lt;&gt;1)</f>
      </c>
      <c r="AC4" s="25">
        <f>_xlfn._xlws.FILTER(AV7:CI7,AV7:CI7&lt;&gt;1)</f>
      </c>
      <c r="AD4" s="25">
        <f>_xlfn._xlws.FILTER(AW7:CJ7,AW7:CJ7&lt;&gt;1)</f>
      </c>
      <c r="AE4" s="25">
        <f>_xlfn._xlws.FILTER(AX7:CK7,AX7:CK7&lt;&gt;1)</f>
      </c>
      <c r="AF4" s="25">
        <f>_xlfn._xlws.FILTER(AY7:CL7,AY7:CL7&lt;&gt;1)</f>
      </c>
      <c r="AG4" s="25">
        <f>_xlfn._xlws.FILTER(AZ7:CM7,AZ7:CM7&lt;&gt;1)</f>
      </c>
      <c r="AH4" s="25">
        <f>_xlfn._xlws.FILTER(BA7:CN7,BA7:CN7&lt;&gt;1)</f>
      </c>
      <c r="AI4" s="25">
        <f>_xlfn._xlws.FILTER(BB7:CO7,BB7:CO7&lt;&gt;1)</f>
      </c>
      <c r="AJ4" s="25">
        <f>_xlfn._xlws.FILTER(BC7:CP7,BC7:CP7&lt;&gt;1)</f>
      </c>
      <c r="AK4" s="25">
        <f>_xlfn._xlws.FILTER(BD7:CQ7,BD7:CQ7&lt;&gt;1)</f>
      </c>
      <c r="AL4" s="25">
        <f>IF(AK3="&lt;Enter name of syndicate member&gt;",1,IF(AK3="Other",1,AK3))</f>
      </c>
      <c r="AM4" s="25">
        <f>IF(AL3="&lt;Enter name of syndicate member&gt;",1,IF(AL3="Other",1,AL3))</f>
      </c>
      <c r="AN4" s="25">
        <f>IF(AM3=0,1,AM3)</f>
      </c>
      <c r="AO4" s="25">
        <f>IF(AN3=0,1,AN3)</f>
      </c>
      <c r="AP4" s="25">
        <f>IF(AO3=0,1,AO3)</f>
      </c>
      <c r="AQ4" s="25">
        <f>IF(AP3=0,1,AP3)</f>
      </c>
      <c r="AR4" s="25">
        <f>IF(AQ3=0,1,AQ3)</f>
      </c>
      <c r="AS4" s="25">
        <f>IF(AR3=0,1,AR3)</f>
      </c>
      <c r="AT4" s="25">
        <f>IF(AS3=0,1,AS3)</f>
      </c>
      <c r="AU4" s="25">
        <f>IF(AT3=0,1,AT3)</f>
      </c>
      <c r="AV4" s="25">
        <f>IF(AU3=0,1,AU3)</f>
      </c>
      <c r="AW4" s="25">
        <f>IF(AV3=0,1,AV3)</f>
      </c>
      <c r="AX4" s="25">
        <f>IF(AW3=0,1,AW3)</f>
      </c>
      <c r="AY4" s="25">
        <f>IF(AX3=0,1,AX3)</f>
      </c>
      <c r="AZ4" s="25">
        <f>IF(AY3=0,1,AY3)</f>
      </c>
      <c r="BA4" s="25">
        <f>IF(AZ3=0,1,AZ3)</f>
      </c>
      <c r="BB4" s="25">
        <f>IF(BA3=0,1,BA3)</f>
      </c>
      <c r="BC4" s="25">
        <f>IF(BB3=0,1,BB3)</f>
      </c>
      <c r="BD4" s="25">
        <f>IF(BC3=0,1,BC3)</f>
      </c>
      <c r="BE4" s="25">
        <f>IF(BD3=0,1,BD3)</f>
      </c>
      <c r="BF4" s="25">
        <f>IF(BE3=0,1,BE3)</f>
      </c>
      <c r="BG4" s="25">
        <f>IF(BF3=0,1,BF3)</f>
      </c>
      <c r="BH4" s="1"/>
    </row>
    <row x14ac:dyDescent="0.25" r="5" customHeight="1" ht="18.7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6"/>
      <c r="M5" s="1"/>
      <c r="N5" s="1"/>
      <c r="O5" s="1"/>
      <c r="P5" s="1"/>
      <c r="Q5" s="1"/>
      <c r="R5" s="1"/>
      <c r="S5" s="1"/>
      <c r="T5" s="7">
        <f>_xlfn._xlws.FILTER(T4:BG4,T4:BG4&lt;&gt;1)</f>
      </c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"/>
    </row>
    <row x14ac:dyDescent="0.25" r="6" customHeight="1" ht="18.7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6"/>
      <c r="M6" s="1"/>
      <c r="N6" s="1"/>
      <c r="O6" s="1"/>
      <c r="P6" s="1"/>
      <c r="Q6" s="1"/>
      <c r="R6" s="1"/>
      <c r="S6" s="1"/>
      <c r="T6" s="7">
        <f>IFERROR(IF(T5="","",T5),"")</f>
      </c>
      <c r="U6" s="16">
        <f>IFERROR(IF(U5="",T6,T6&amp;"; "&amp;U5),"")</f>
      </c>
      <c r="V6" s="16">
        <f>IFERROR(IF(V5="",U6,U6&amp;"; "&amp;V5),"")</f>
      </c>
      <c r="W6" s="16">
        <f>IFERROR(IF(W5="",V6,V6&amp;"; "&amp;W5),"")</f>
      </c>
      <c r="X6" s="16">
        <f>IFERROR(IF(X5="",W6,W6&amp;"; "&amp;X5),"")</f>
      </c>
      <c r="Y6" s="16">
        <f>IFERROR(IF(Y5="",X6,X6&amp;"; "&amp;Y5),"")</f>
      </c>
      <c r="Z6" s="16">
        <f>IFERROR(IF(Z5="",Y6,Y6&amp;"; "&amp;Z5),"")</f>
      </c>
      <c r="AA6" s="16">
        <f>IFERROR(IF(AA5="",Z6,Z6&amp;"; "&amp;AA5),"")</f>
      </c>
      <c r="AB6" s="16">
        <f>IFERROR(IF(AB5="",AA6,AA6&amp;"; "&amp;AB5),"")</f>
      </c>
      <c r="AC6" s="16">
        <f>IFERROR(IF(AC5="",AB6,AB6&amp;"; "&amp;AC5),"")</f>
      </c>
      <c r="AD6" s="16">
        <f>IFERROR(IF(AD5="",AC6,AC6&amp;"; "&amp;AD5),"")</f>
      </c>
      <c r="AE6" s="16">
        <f>IFERROR(IF(AE5="",AD6,AD6&amp;"; "&amp;AE5),"")</f>
      </c>
      <c r="AF6" s="16">
        <f>IFERROR(IF(AF5="",AE6,AE6&amp;"; "&amp;AF5),"")</f>
      </c>
      <c r="AG6" s="16">
        <f>IFERROR(IF(AG5="",W6,W6&amp;"; "&amp;AG5),"")</f>
      </c>
      <c r="AH6" s="16">
        <f>IFERROR(IF(AH5="",X6,X6&amp;"; "&amp;AH5),"")</f>
      </c>
      <c r="AI6" s="16">
        <f>IFERROR(IF(AI5="",Y6,Y6&amp;"; "&amp;AI5),"")</f>
      </c>
      <c r="AJ6" s="16">
        <f>IFERROR(IF(AJ5="",Z6,Z6&amp;"; "&amp;AJ5),"")</f>
      </c>
      <c r="AK6" s="16">
        <f>IFERROR(IF(AK5="",AA6,AA6&amp;"; "&amp;AK5),"")</f>
      </c>
      <c r="AL6" s="16">
        <f>IFERROR(IF(AL5="",AB6,AB6&amp;"; "&amp;AL5),"")</f>
      </c>
      <c r="AM6" s="16">
        <f>IFERROR(IF(AM5="",AC6,AC6&amp;"; "&amp;AM5),"")</f>
      </c>
      <c r="AN6" s="16">
        <f>IFERROR(IF(AN5="",AD6,AD6&amp;"; "&amp;AN5),"")</f>
      </c>
      <c r="AO6" s="16">
        <f>IFERROR(IF(AO5="",AE6,AE6&amp;"; "&amp;AO5),"")</f>
      </c>
      <c r="AP6" s="16">
        <f>IFERROR(IF(AP5="",AF6,AF6&amp;"; "&amp;AP5),"")</f>
      </c>
      <c r="AQ6" s="16">
        <f>IFERROR(IF(AQ5="",AG6,AG6&amp;"; "&amp;AQ5),"")</f>
      </c>
      <c r="AR6" s="16">
        <f>IFERROR(IF(AR5="",AH6,AH6&amp;"; "&amp;AR5),"")</f>
      </c>
      <c r="AS6" s="16">
        <f>IFERROR(IF(AS5="",AI6,AI6&amp;"; "&amp;AS5),"")</f>
      </c>
      <c r="AT6" s="16">
        <f>IFERROR(IF(AT5="",AJ6,AJ6&amp;"; "&amp;AT5),"")</f>
      </c>
      <c r="AU6" s="16">
        <f>IFERROR(IF(AU5="",AK6,AK6&amp;"; "&amp;AU5),"")</f>
      </c>
      <c r="AV6" s="16">
        <f>IFERROR(IF(AV5="",AL6,AL6&amp;"; "&amp;AV5),"")</f>
      </c>
      <c r="AW6" s="16">
        <f>IFERROR(IF(AW5="",AM6,AM6&amp;"; "&amp;AW5),"")</f>
      </c>
      <c r="AX6" s="16">
        <f>IFERROR(IF(AX5="",AN6,AN6&amp;"; "&amp;AX5),"")</f>
      </c>
      <c r="AY6" s="16">
        <f>IFERROR(IF(AY5="",AX6,AX6&amp;"; "&amp;AY5),"")</f>
      </c>
      <c r="AZ6" s="16">
        <f>IFERROR(IF(AZ5="",AY6,AY6&amp;"; "&amp;AZ5),"")</f>
      </c>
      <c r="BA6" s="16">
        <f>IFERROR(IF(BA5="",AZ6,AZ6&amp;"; "&amp;BA5),"")</f>
      </c>
      <c r="BB6" s="16">
        <f>IFERROR(IF(BB5="",BA6,BA6&amp;"; "&amp;BB5),"")</f>
      </c>
      <c r="BC6" s="16">
        <f>IFERROR(IF(BC5="",BB6,BB6&amp;"; "&amp;BC5),"")</f>
      </c>
      <c r="BD6" s="16">
        <f>IFERROR(IF(BD5="",BC6,BC6&amp;"; "&amp;BD5),"")</f>
      </c>
      <c r="BE6" s="16">
        <f>IFERROR(IF(BE5="",BD6,BD6&amp;"; "&amp;BE5),"")</f>
      </c>
      <c r="BF6" s="16">
        <f>IFERROR(IF(BF5="",BE6,BE6&amp;"; "&amp;BF5),"")</f>
      </c>
      <c r="BG6" s="16">
        <f>IFERROR(IF(BG5="",BF6,BF6&amp;"; "&amp;BG5),"")</f>
      </c>
      <c r="BH6" s="1"/>
    </row>
    <row x14ac:dyDescent="0.25" r="7" customHeight="1" ht="18.7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6"/>
      <c r="M7" s="1"/>
      <c r="N7" s="1"/>
      <c r="O7" s="1"/>
      <c r="P7" s="1"/>
      <c r="Q7" s="1"/>
      <c r="R7" s="1"/>
      <c r="S7" s="1"/>
      <c r="T7" s="7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"/>
    </row>
    <row x14ac:dyDescent="0.25" r="8" customHeight="1" ht="18.7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6"/>
      <c r="M8" s="1"/>
      <c r="N8" s="1"/>
      <c r="O8" s="1"/>
      <c r="P8" s="1"/>
      <c r="Q8" s="1"/>
      <c r="R8" s="1"/>
      <c r="S8" s="1"/>
      <c r="T8" s="7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"/>
    </row>
    <row x14ac:dyDescent="0.25" r="9" customHeight="1" ht="18.7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6"/>
      <c r="M9" s="1"/>
      <c r="N9" s="1"/>
      <c r="O9" s="1"/>
      <c r="P9" s="1"/>
      <c r="Q9" s="1"/>
      <c r="R9" s="1"/>
      <c r="S9" s="1"/>
      <c r="T9" s="7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"/>
    </row>
    <row x14ac:dyDescent="0.25" r="10" customHeight="1" ht="18.7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6"/>
      <c r="M10" s="1"/>
      <c r="N10" s="1"/>
      <c r="O10" s="1"/>
      <c r="P10" s="1"/>
      <c r="Q10" s="1"/>
      <c r="R10" s="1"/>
      <c r="S10" s="1"/>
      <c r="T10" s="7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"/>
    </row>
    <row x14ac:dyDescent="0.25" r="11" customHeight="1" ht="18.75">
      <c r="A11" s="1"/>
      <c r="B11" s="17" t="s">
        <v>559</v>
      </c>
      <c r="C11" s="17" t="s">
        <v>561</v>
      </c>
      <c r="D11" s="17" t="s">
        <v>562</v>
      </c>
      <c r="E11" s="17" t="s">
        <v>563</v>
      </c>
      <c r="F11" s="17" t="s">
        <v>0</v>
      </c>
      <c r="G11" s="17" t="s">
        <v>564</v>
      </c>
      <c r="H11" s="17" t="s">
        <v>565</v>
      </c>
      <c r="I11" s="17" t="s">
        <v>566</v>
      </c>
      <c r="J11" s="17" t="s">
        <v>567</v>
      </c>
      <c r="K11" s="17" t="s">
        <v>568</v>
      </c>
      <c r="L11" s="18" t="s">
        <v>2</v>
      </c>
      <c r="M11" s="17" t="s">
        <v>3</v>
      </c>
      <c r="N11" s="17" t="s">
        <v>4</v>
      </c>
      <c r="O11" s="17" t="s">
        <v>569</v>
      </c>
      <c r="P11" s="17" t="s">
        <v>570</v>
      </c>
      <c r="Q11" s="19" t="s">
        <v>6</v>
      </c>
      <c r="R11" s="17" t="s">
        <v>571</v>
      </c>
      <c r="S11" s="17" t="s">
        <v>572</v>
      </c>
      <c r="T11" s="26" t="s">
        <v>549</v>
      </c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"/>
    </row>
    <row x14ac:dyDescent="0.25" r="12" customHeight="1" ht="18.75">
      <c r="A12" s="1"/>
      <c r="B12" s="23">
        <f>C4</f>
      </c>
      <c r="C12" s="23">
        <f>D3</f>
      </c>
      <c r="D12" s="23">
        <f>E3</f>
      </c>
      <c r="E12" s="23">
        <f>F3</f>
      </c>
      <c r="F12" s="23">
        <f>G3</f>
      </c>
      <c r="G12" s="23">
        <f>H3</f>
      </c>
      <c r="H12" s="23">
        <f>I3</f>
      </c>
      <c r="I12" s="23">
        <f>J3</f>
      </c>
      <c r="J12" s="23">
        <f>IF(K3="Other",L3,K3)</f>
      </c>
      <c r="K12" s="23">
        <f>M3</f>
      </c>
      <c r="L12" s="16">
        <f>N3</f>
      </c>
      <c r="M12" s="23">
        <f>O3</f>
      </c>
      <c r="N12" s="23">
        <f>P3</f>
      </c>
      <c r="O12" s="23">
        <f>Q3</f>
      </c>
      <c r="P12" s="23">
        <f>R3</f>
      </c>
      <c r="Q12" s="23">
        <f>BG6</f>
      </c>
      <c r="R12" s="23">
        <f>BG3</f>
      </c>
      <c r="S12" s="23">
        <f>BH3</f>
      </c>
      <c r="T12" s="27">
        <f>TODAY()</f>
        <v>25569.229166666668</v>
      </c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"/>
    </row>
  </sheetData>
  <mergeCells count="1">
    <mergeCell ref="S2:AL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E18"/>
  <sheetViews>
    <sheetView workbookViewId="0"/>
  </sheetViews>
  <sheetFormatPr defaultRowHeight="15" x14ac:dyDescent="0.25"/>
  <cols>
    <col min="1" max="1" style="5" width="13.576428571428572" customWidth="1" bestFit="1"/>
    <col min="2" max="2" style="5" width="13.576428571428572" customWidth="1" bestFit="1"/>
    <col min="3" max="3" style="5" width="13.576428571428572" customWidth="1" bestFit="1"/>
    <col min="4" max="4" style="14" width="44.29071428571429" customWidth="1" bestFit="1"/>
    <col min="5" max="5" style="15" width="10.290714285714287" customWidth="1" bestFit="1"/>
  </cols>
  <sheetData>
    <row x14ac:dyDescent="0.25" r="1" customHeight="1" ht="18.75">
      <c r="A1" s="1"/>
      <c r="B1" s="1"/>
      <c r="C1" s="1"/>
      <c r="D1" s="6"/>
      <c r="E1" s="7"/>
    </row>
    <row x14ac:dyDescent="0.25" r="2" customHeight="1" ht="18.75">
      <c r="A2" s="1"/>
      <c r="B2" s="1"/>
      <c r="C2" s="1"/>
      <c r="D2" s="6"/>
      <c r="E2" s="7"/>
    </row>
    <row x14ac:dyDescent="0.25" r="3" customHeight="1" ht="18.75">
      <c r="A3" s="1"/>
      <c r="B3" s="1"/>
      <c r="C3" s="1"/>
      <c r="D3" s="6"/>
      <c r="E3" s="7"/>
    </row>
    <row x14ac:dyDescent="0.25" r="4" customHeight="1" ht="18.75">
      <c r="A4" s="1"/>
      <c r="B4" s="1"/>
      <c r="C4" s="1"/>
      <c r="D4" s="6"/>
      <c r="E4" s="7"/>
    </row>
    <row x14ac:dyDescent="0.25" r="5" customHeight="1" ht="18.75">
      <c r="A5" s="1"/>
      <c r="B5" s="1"/>
      <c r="C5" s="8" t="s">
        <v>547</v>
      </c>
      <c r="D5" s="9" t="s">
        <v>548</v>
      </c>
      <c r="E5" s="10" t="s">
        <v>549</v>
      </c>
    </row>
    <row x14ac:dyDescent="0.25" r="6" customHeight="1" ht="18.75">
      <c r="A6" s="1"/>
      <c r="B6" s="1"/>
      <c r="C6" s="11" t="s">
        <v>550</v>
      </c>
      <c r="D6" s="12" t="s">
        <v>551</v>
      </c>
      <c r="E6" s="13" t="s">
        <v>552</v>
      </c>
    </row>
    <row x14ac:dyDescent="0.25" r="7" customHeight="1" ht="18.75">
      <c r="A7" s="1"/>
      <c r="B7" s="1"/>
      <c r="C7" s="11" t="s">
        <v>553</v>
      </c>
      <c r="D7" s="12" t="s">
        <v>554</v>
      </c>
      <c r="E7" s="13" t="s">
        <v>552</v>
      </c>
    </row>
    <row x14ac:dyDescent="0.25" r="8" customHeight="1" ht="18.75">
      <c r="A8" s="1"/>
      <c r="B8" s="1"/>
      <c r="C8" s="11" t="s">
        <v>555</v>
      </c>
      <c r="D8" s="12" t="s">
        <v>556</v>
      </c>
      <c r="E8" s="13">
        <v>45709</v>
      </c>
    </row>
    <row x14ac:dyDescent="0.25" r="9" customHeight="1" ht="18.75">
      <c r="A9" s="1"/>
      <c r="B9" s="1"/>
      <c r="C9" s="11" t="s">
        <v>557</v>
      </c>
      <c r="D9" s="12" t="s">
        <v>558</v>
      </c>
      <c r="E9" s="13">
        <v>45736</v>
      </c>
    </row>
    <row x14ac:dyDescent="0.25" r="10" customHeight="1" ht="18.75">
      <c r="A10" s="1"/>
      <c r="B10" s="1"/>
      <c r="C10" s="11"/>
      <c r="D10" s="12"/>
      <c r="E10" s="13"/>
    </row>
    <row x14ac:dyDescent="0.25" r="11" customHeight="1" ht="18.75">
      <c r="A11" s="1"/>
      <c r="B11" s="1"/>
      <c r="C11" s="11"/>
      <c r="D11" s="12"/>
      <c r="E11" s="13"/>
    </row>
    <row x14ac:dyDescent="0.25" r="12" customHeight="1" ht="18.75">
      <c r="A12" s="1"/>
      <c r="B12" s="1"/>
      <c r="C12" s="11"/>
      <c r="D12" s="12"/>
      <c r="E12" s="13"/>
    </row>
    <row x14ac:dyDescent="0.25" r="13" customHeight="1" ht="18.75">
      <c r="A13" s="1"/>
      <c r="B13" s="1"/>
      <c r="C13" s="11"/>
      <c r="D13" s="12"/>
      <c r="E13" s="13"/>
    </row>
    <row x14ac:dyDescent="0.25" r="14" customHeight="1" ht="18.75">
      <c r="A14" s="1"/>
      <c r="B14" s="1"/>
      <c r="C14" s="11"/>
      <c r="D14" s="12"/>
      <c r="E14" s="13"/>
    </row>
    <row x14ac:dyDescent="0.25" r="15" customHeight="1" ht="18.75">
      <c r="A15" s="1"/>
      <c r="B15" s="1"/>
      <c r="C15" s="11"/>
      <c r="D15" s="12"/>
      <c r="E15" s="13"/>
    </row>
    <row x14ac:dyDescent="0.25" r="16" customHeight="1" ht="18.75">
      <c r="A16" s="1"/>
      <c r="B16" s="1"/>
      <c r="C16" s="11"/>
      <c r="D16" s="12"/>
      <c r="E16" s="13"/>
    </row>
    <row x14ac:dyDescent="0.25" r="17" customHeight="1" ht="18.75">
      <c r="A17" s="1"/>
      <c r="B17" s="1"/>
      <c r="C17" s="11"/>
      <c r="D17" s="12"/>
      <c r="E17" s="13"/>
    </row>
    <row x14ac:dyDescent="0.25" r="18" customHeight="1" ht="18.75">
      <c r="A18" s="1"/>
      <c r="B18" s="1"/>
      <c r="C18" s="11"/>
      <c r="D18" s="12"/>
      <c r="E18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M169"/>
  <sheetViews>
    <sheetView workbookViewId="0"/>
  </sheetViews>
  <sheetFormatPr defaultRowHeight="15" x14ac:dyDescent="0.25"/>
  <cols>
    <col min="1" max="1" style="5" width="8.862142857142858" customWidth="1" bestFit="1"/>
    <col min="2" max="2" style="5" width="28.576428571428572" customWidth="1" bestFit="1"/>
    <col min="3" max="3" style="5" width="8.719285714285713" customWidth="1" bestFit="1"/>
    <col min="4" max="4" style="5" width="8.862142857142858" customWidth="1" bestFit="1"/>
    <col min="5" max="5" style="5" width="8.862142857142858" customWidth="1" bestFit="1"/>
    <col min="6" max="6" style="5" width="8.862142857142858" customWidth="1" bestFit="1"/>
    <col min="7" max="7" style="5" width="8.862142857142858" customWidth="1" bestFit="1"/>
    <col min="8" max="8" style="5" width="8.862142857142858" customWidth="1" bestFit="1"/>
    <col min="9" max="9" style="5" width="22.005" customWidth="1" bestFit="1"/>
    <col min="10" max="10" style="5" width="8.862142857142858" customWidth="1" bestFit="1"/>
    <col min="11" max="11" style="5" width="33.005" customWidth="1" bestFit="1"/>
    <col min="12" max="12" style="5" width="13.576428571428572" customWidth="1" bestFit="1"/>
    <col min="13" max="13" style="5" width="13.576428571428572" customWidth="1" bestFit="1"/>
  </cols>
  <sheetData>
    <row x14ac:dyDescent="0.25" r="1" customHeight="1" ht="18.75">
      <c r="A1" s="1"/>
      <c r="B1" s="2" t="s">
        <v>0</v>
      </c>
      <c r="C1" s="2" t="s">
        <v>1</v>
      </c>
      <c r="D1" s="1"/>
      <c r="E1" s="2" t="s">
        <v>2</v>
      </c>
      <c r="F1" s="2" t="s">
        <v>3</v>
      </c>
      <c r="G1" s="2" t="s">
        <v>4</v>
      </c>
      <c r="H1" s="1"/>
      <c r="I1" s="3" t="s">
        <v>5</v>
      </c>
      <c r="J1" s="1"/>
      <c r="K1" s="3" t="s">
        <v>6</v>
      </c>
      <c r="L1" s="1"/>
      <c r="M1" s="3" t="s">
        <v>7</v>
      </c>
    </row>
    <row x14ac:dyDescent="0.25" r="2" customHeight="1" ht="18.75">
      <c r="A2" s="1"/>
      <c r="B2" s="4" t="s">
        <v>8</v>
      </c>
      <c r="C2" s="4" t="s">
        <v>9</v>
      </c>
      <c r="D2" s="1"/>
      <c r="E2" s="4" t="s">
        <v>10</v>
      </c>
      <c r="F2" s="4" t="s">
        <v>11</v>
      </c>
      <c r="G2" s="4" t="s">
        <v>11</v>
      </c>
      <c r="H2" s="1"/>
      <c r="I2" s="4" t="s">
        <v>12</v>
      </c>
      <c r="J2" s="1"/>
      <c r="K2" s="4" t="s">
        <v>13</v>
      </c>
      <c r="L2" s="1"/>
      <c r="M2" s="4" t="s">
        <v>14</v>
      </c>
    </row>
    <row x14ac:dyDescent="0.25" r="3" customHeight="1" ht="18.75">
      <c r="A3" s="1"/>
      <c r="B3" s="4" t="s">
        <v>15</v>
      </c>
      <c r="C3" s="4" t="s">
        <v>16</v>
      </c>
      <c r="D3" s="1"/>
      <c r="E3" s="4" t="s">
        <v>17</v>
      </c>
      <c r="F3" s="4" t="s">
        <v>18</v>
      </c>
      <c r="G3" s="4" t="s">
        <v>18</v>
      </c>
      <c r="H3" s="1"/>
      <c r="I3" s="4" t="s">
        <v>19</v>
      </c>
      <c r="J3" s="1"/>
      <c r="K3" s="4" t="s">
        <v>20</v>
      </c>
      <c r="L3" s="1"/>
      <c r="M3" s="4" t="s">
        <v>20</v>
      </c>
    </row>
    <row x14ac:dyDescent="0.25" r="4" customHeight="1" ht="18.75">
      <c r="A4" s="1"/>
      <c r="B4" s="4" t="s">
        <v>21</v>
      </c>
      <c r="C4" s="4" t="s">
        <v>22</v>
      </c>
      <c r="D4" s="1"/>
      <c r="E4" s="4" t="s">
        <v>23</v>
      </c>
      <c r="F4" s="4" t="s">
        <v>24</v>
      </c>
      <c r="G4" s="4" t="s">
        <v>24</v>
      </c>
      <c r="H4" s="1"/>
      <c r="I4" s="4" t="s">
        <v>25</v>
      </c>
      <c r="J4" s="1"/>
      <c r="K4" s="4" t="s">
        <v>26</v>
      </c>
      <c r="L4" s="1"/>
      <c r="M4" s="4" t="s">
        <v>27</v>
      </c>
    </row>
    <row x14ac:dyDescent="0.25" r="5" customHeight="1" ht="18.75">
      <c r="A5" s="1"/>
      <c r="B5" s="4" t="s">
        <v>28</v>
      </c>
      <c r="C5" s="4" t="s">
        <v>29</v>
      </c>
      <c r="D5" s="1"/>
      <c r="E5" s="4" t="s">
        <v>30</v>
      </c>
      <c r="F5" s="4" t="s">
        <v>31</v>
      </c>
      <c r="G5" s="4" t="s">
        <v>31</v>
      </c>
      <c r="H5" s="1"/>
      <c r="I5" s="4" t="s">
        <v>32</v>
      </c>
      <c r="J5" s="1"/>
      <c r="K5" s="4" t="s">
        <v>33</v>
      </c>
      <c r="L5" s="1"/>
      <c r="M5" s="4" t="s">
        <v>34</v>
      </c>
    </row>
    <row x14ac:dyDescent="0.25" r="6" customHeight="1" ht="18.75">
      <c r="A6" s="1"/>
      <c r="B6" s="4" t="s">
        <v>35</v>
      </c>
      <c r="C6" s="4" t="s">
        <v>36</v>
      </c>
      <c r="D6" s="1"/>
      <c r="E6" s="4" t="s">
        <v>37</v>
      </c>
      <c r="F6" s="4" t="s">
        <v>38</v>
      </c>
      <c r="G6" s="4" t="s">
        <v>38</v>
      </c>
      <c r="H6" s="1"/>
      <c r="I6" s="4" t="s">
        <v>39</v>
      </c>
      <c r="J6" s="1"/>
      <c r="K6" s="4" t="s">
        <v>40</v>
      </c>
      <c r="L6" s="1"/>
      <c r="M6" s="4" t="s">
        <v>41</v>
      </c>
    </row>
    <row x14ac:dyDescent="0.25" r="7" customHeight="1" ht="18.75">
      <c r="A7" s="1"/>
      <c r="B7" s="4" t="s">
        <v>42</v>
      </c>
      <c r="C7" s="4" t="s">
        <v>43</v>
      </c>
      <c r="D7" s="1"/>
      <c r="E7" s="4" t="s">
        <v>44</v>
      </c>
      <c r="F7" s="4" t="s">
        <v>45</v>
      </c>
      <c r="G7" s="4" t="s">
        <v>45</v>
      </c>
      <c r="H7" s="1"/>
      <c r="I7" s="4" t="s">
        <v>46</v>
      </c>
      <c r="J7" s="1"/>
      <c r="K7" s="4" t="s">
        <v>47</v>
      </c>
      <c r="L7" s="1"/>
      <c r="M7" s="4" t="s">
        <v>48</v>
      </c>
    </row>
    <row x14ac:dyDescent="0.25" r="8" customHeight="1" ht="18.75">
      <c r="A8" s="1"/>
      <c r="B8" s="4" t="s">
        <v>49</v>
      </c>
      <c r="C8" s="4" t="s">
        <v>50</v>
      </c>
      <c r="D8" s="1"/>
      <c r="E8" s="4" t="s">
        <v>51</v>
      </c>
      <c r="F8" s="4" t="s">
        <v>52</v>
      </c>
      <c r="G8" s="4" t="s">
        <v>52</v>
      </c>
      <c r="H8" s="1"/>
      <c r="I8" s="4" t="s">
        <v>53</v>
      </c>
      <c r="J8" s="1"/>
      <c r="K8" s="4" t="s">
        <v>54</v>
      </c>
      <c r="L8" s="1"/>
      <c r="M8" s="4" t="s">
        <v>55</v>
      </c>
    </row>
    <row x14ac:dyDescent="0.25" r="9" customHeight="1" ht="18.75">
      <c r="A9" s="1"/>
      <c r="B9" s="4" t="s">
        <v>56</v>
      </c>
      <c r="C9" s="4" t="s">
        <v>57</v>
      </c>
      <c r="D9" s="1"/>
      <c r="E9" s="4" t="s">
        <v>58</v>
      </c>
      <c r="F9" s="4" t="s">
        <v>59</v>
      </c>
      <c r="G9" s="4" t="s">
        <v>59</v>
      </c>
      <c r="H9" s="1"/>
      <c r="I9" s="4" t="s">
        <v>60</v>
      </c>
      <c r="J9" s="1"/>
      <c r="K9" s="4" t="s">
        <v>61</v>
      </c>
      <c r="L9" s="1"/>
      <c r="M9" s="4" t="s">
        <v>62</v>
      </c>
    </row>
    <row x14ac:dyDescent="0.25" r="10" customHeight="1" ht="18.75">
      <c r="A10" s="1"/>
      <c r="B10" s="4" t="s">
        <v>63</v>
      </c>
      <c r="C10" s="4" t="s">
        <v>64</v>
      </c>
      <c r="D10" s="1"/>
      <c r="E10" s="4" t="s">
        <v>65</v>
      </c>
      <c r="F10" s="4" t="s">
        <v>66</v>
      </c>
      <c r="G10" s="4" t="s">
        <v>66</v>
      </c>
      <c r="H10" s="1"/>
      <c r="I10" s="4" t="s">
        <v>67</v>
      </c>
      <c r="J10" s="1"/>
      <c r="K10" s="4" t="s">
        <v>68</v>
      </c>
      <c r="L10" s="1"/>
      <c r="M10" s="4" t="s">
        <v>69</v>
      </c>
    </row>
    <row x14ac:dyDescent="0.25" r="11" customHeight="1" ht="18.75">
      <c r="A11" s="1"/>
      <c r="B11" s="4" t="s">
        <v>70</v>
      </c>
      <c r="C11" s="4" t="s">
        <v>71</v>
      </c>
      <c r="D11" s="1"/>
      <c r="E11" s="4" t="s">
        <v>72</v>
      </c>
      <c r="F11" s="4" t="s">
        <v>73</v>
      </c>
      <c r="G11" s="4" t="s">
        <v>73</v>
      </c>
      <c r="H11" s="1"/>
      <c r="I11" s="4" t="s">
        <v>74</v>
      </c>
      <c r="J11" s="1"/>
      <c r="K11" s="4" t="s">
        <v>75</v>
      </c>
      <c r="L11" s="1"/>
      <c r="M11" s="4" t="s">
        <v>76</v>
      </c>
    </row>
    <row x14ac:dyDescent="0.25" r="12" customHeight="1" ht="18.75">
      <c r="A12" s="1"/>
      <c r="B12" s="4" t="s">
        <v>77</v>
      </c>
      <c r="C12" s="4" t="s">
        <v>78</v>
      </c>
      <c r="D12" s="1"/>
      <c r="E12" s="4" t="s">
        <v>79</v>
      </c>
      <c r="F12" s="4" t="s">
        <v>80</v>
      </c>
      <c r="G12" s="4" t="s">
        <v>80</v>
      </c>
      <c r="H12" s="1"/>
      <c r="I12" s="4" t="s">
        <v>81</v>
      </c>
      <c r="J12" s="1"/>
      <c r="K12" s="4" t="s">
        <v>82</v>
      </c>
      <c r="L12" s="1"/>
      <c r="M12" s="4" t="s">
        <v>83</v>
      </c>
    </row>
    <row x14ac:dyDescent="0.25" r="13" customHeight="1" ht="18.75">
      <c r="A13" s="1"/>
      <c r="B13" s="4" t="s">
        <v>84</v>
      </c>
      <c r="C13" s="4" t="s">
        <v>85</v>
      </c>
      <c r="D13" s="1"/>
      <c r="E13" s="4" t="s">
        <v>86</v>
      </c>
      <c r="F13" s="4" t="s">
        <v>87</v>
      </c>
      <c r="G13" s="4" t="s">
        <v>87</v>
      </c>
      <c r="H13" s="1"/>
      <c r="I13" s="4" t="s">
        <v>88</v>
      </c>
      <c r="J13" s="1"/>
      <c r="K13" s="4" t="s">
        <v>89</v>
      </c>
      <c r="L13" s="1"/>
      <c r="M13" s="4" t="s">
        <v>90</v>
      </c>
    </row>
    <row x14ac:dyDescent="0.25" r="14" customHeight="1" ht="18.75">
      <c r="A14" s="1"/>
      <c r="B14" s="4" t="s">
        <v>91</v>
      </c>
      <c r="C14" s="4" t="s">
        <v>92</v>
      </c>
      <c r="D14" s="1"/>
      <c r="E14" s="4" t="s">
        <v>93</v>
      </c>
      <c r="F14" s="4" t="s">
        <v>94</v>
      </c>
      <c r="G14" s="4" t="s">
        <v>94</v>
      </c>
      <c r="H14" s="1"/>
      <c r="I14" s="4" t="s">
        <v>95</v>
      </c>
      <c r="J14" s="1"/>
      <c r="K14" s="4" t="s">
        <v>96</v>
      </c>
      <c r="L14" s="1"/>
      <c r="M14" s="4" t="s">
        <v>97</v>
      </c>
    </row>
    <row x14ac:dyDescent="0.25" r="15" customHeight="1" ht="18.75">
      <c r="A15" s="1"/>
      <c r="B15" s="4" t="s">
        <v>98</v>
      </c>
      <c r="C15" s="4" t="s">
        <v>99</v>
      </c>
      <c r="D15" s="1"/>
      <c r="E15" s="4" t="s">
        <v>100</v>
      </c>
      <c r="F15" s="4" t="s">
        <v>101</v>
      </c>
      <c r="G15" s="4" t="s">
        <v>101</v>
      </c>
      <c r="H15" s="1"/>
      <c r="I15" s="4" t="s">
        <v>102</v>
      </c>
      <c r="J15" s="1"/>
      <c r="K15" s="4" t="s">
        <v>103</v>
      </c>
      <c r="L15" s="1"/>
      <c r="M15" s="4" t="s">
        <v>104</v>
      </c>
    </row>
    <row x14ac:dyDescent="0.25" r="16" customHeight="1" ht="18.75">
      <c r="A16" s="1"/>
      <c r="B16" s="4" t="s">
        <v>105</v>
      </c>
      <c r="C16" s="4" t="s">
        <v>106</v>
      </c>
      <c r="D16" s="1"/>
      <c r="E16" s="4" t="s">
        <v>107</v>
      </c>
      <c r="F16" s="4" t="s">
        <v>108</v>
      </c>
      <c r="G16" s="4" t="s">
        <v>108</v>
      </c>
      <c r="H16" s="1"/>
      <c r="I16" s="4" t="s">
        <v>109</v>
      </c>
      <c r="J16" s="1"/>
      <c r="K16" s="4" t="s">
        <v>110</v>
      </c>
      <c r="L16" s="1"/>
      <c r="M16" s="4" t="s">
        <v>111</v>
      </c>
    </row>
    <row x14ac:dyDescent="0.25" r="17" customHeight="1" ht="18.75">
      <c r="A17" s="1"/>
      <c r="B17" s="4" t="s">
        <v>112</v>
      </c>
      <c r="C17" s="4" t="s">
        <v>113</v>
      </c>
      <c r="D17" s="1"/>
      <c r="E17" s="4" t="s">
        <v>114</v>
      </c>
      <c r="F17" s="4" t="s">
        <v>115</v>
      </c>
      <c r="G17" s="4" t="s">
        <v>115</v>
      </c>
      <c r="H17" s="1"/>
      <c r="I17" s="4" t="s">
        <v>116</v>
      </c>
      <c r="J17" s="1"/>
      <c r="K17" s="4" t="s">
        <v>117</v>
      </c>
      <c r="L17" s="1"/>
      <c r="M17" s="4" t="s">
        <v>118</v>
      </c>
    </row>
    <row x14ac:dyDescent="0.25" r="18" customHeight="1" ht="18.75">
      <c r="A18" s="1"/>
      <c r="B18" s="4" t="s">
        <v>119</v>
      </c>
      <c r="C18" s="4" t="s">
        <v>120</v>
      </c>
      <c r="D18" s="1"/>
      <c r="E18" s="4" t="s">
        <v>121</v>
      </c>
      <c r="F18" s="4" t="s">
        <v>122</v>
      </c>
      <c r="G18" s="4" t="s">
        <v>123</v>
      </c>
      <c r="H18" s="1"/>
      <c r="I18" s="4" t="s">
        <v>20</v>
      </c>
      <c r="J18" s="1"/>
      <c r="K18" s="4" t="s">
        <v>124</v>
      </c>
      <c r="L18" s="1"/>
      <c r="M18" s="4" t="s">
        <v>125</v>
      </c>
    </row>
    <row x14ac:dyDescent="0.25" r="19" customHeight="1" ht="18.75">
      <c r="A19" s="1"/>
      <c r="B19" s="4" t="s">
        <v>126</v>
      </c>
      <c r="C19" s="4" t="s">
        <v>127</v>
      </c>
      <c r="D19" s="1"/>
      <c r="E19" s="4" t="s">
        <v>128</v>
      </c>
      <c r="F19" s="4" t="s">
        <v>123</v>
      </c>
      <c r="G19" s="4" t="s">
        <v>129</v>
      </c>
      <c r="H19" s="1"/>
      <c r="I19" s="4" t="s">
        <v>130</v>
      </c>
      <c r="J19" s="1"/>
      <c r="K19" s="4" t="s">
        <v>131</v>
      </c>
      <c r="L19" s="1"/>
      <c r="M19" s="4" t="s">
        <v>132</v>
      </c>
    </row>
    <row x14ac:dyDescent="0.25" r="20" customHeight="1" ht="18.75">
      <c r="A20" s="1"/>
      <c r="B20" s="4" t="s">
        <v>133</v>
      </c>
      <c r="C20" s="4" t="s">
        <v>134</v>
      </c>
      <c r="D20" s="1"/>
      <c r="E20" s="4" t="s">
        <v>135</v>
      </c>
      <c r="F20" s="4" t="s">
        <v>136</v>
      </c>
      <c r="G20" s="4" t="s">
        <v>137</v>
      </c>
      <c r="H20" s="1"/>
      <c r="I20" s="1"/>
      <c r="J20" s="1"/>
      <c r="K20" s="4" t="s">
        <v>138</v>
      </c>
      <c r="L20" s="1"/>
      <c r="M20" s="4" t="s">
        <v>139</v>
      </c>
    </row>
    <row x14ac:dyDescent="0.25" r="21" customHeight="1" ht="18.75">
      <c r="A21" s="1"/>
      <c r="B21" s="4" t="s">
        <v>140</v>
      </c>
      <c r="C21" s="4" t="s">
        <v>141</v>
      </c>
      <c r="D21" s="1"/>
      <c r="E21" s="4" t="s">
        <v>142</v>
      </c>
      <c r="F21" s="4" t="s">
        <v>129</v>
      </c>
      <c r="G21" s="4" t="s">
        <v>143</v>
      </c>
      <c r="H21" s="1"/>
      <c r="I21" s="1"/>
      <c r="J21" s="1"/>
      <c r="K21" s="4" t="s">
        <v>144</v>
      </c>
      <c r="L21" s="1"/>
      <c r="M21" s="4" t="s">
        <v>145</v>
      </c>
    </row>
    <row x14ac:dyDescent="0.25" r="22" customHeight="1" ht="18.75">
      <c r="A22" s="1"/>
      <c r="B22" s="4" t="s">
        <v>146</v>
      </c>
      <c r="C22" s="4" t="s">
        <v>147</v>
      </c>
      <c r="D22" s="1"/>
      <c r="E22" s="4" t="s">
        <v>137</v>
      </c>
      <c r="F22" s="4" t="s">
        <v>137</v>
      </c>
      <c r="G22" s="1"/>
      <c r="H22" s="1"/>
      <c r="I22" s="1"/>
      <c r="J22" s="1"/>
      <c r="K22" s="4" t="s">
        <v>148</v>
      </c>
      <c r="L22" s="1"/>
      <c r="M22" s="4" t="s">
        <v>149</v>
      </c>
    </row>
    <row x14ac:dyDescent="0.25" r="23" customHeight="1" ht="18.75">
      <c r="A23" s="1"/>
      <c r="B23" s="4" t="s">
        <v>150</v>
      </c>
      <c r="C23" s="4" t="s">
        <v>151</v>
      </c>
      <c r="D23" s="1"/>
      <c r="E23" s="1"/>
      <c r="F23" s="4" t="s">
        <v>143</v>
      </c>
      <c r="G23" s="1"/>
      <c r="H23" s="1"/>
      <c r="I23" s="1"/>
      <c r="J23" s="1"/>
      <c r="K23" s="4" t="s">
        <v>152</v>
      </c>
      <c r="L23" s="1"/>
      <c r="M23" s="4" t="s">
        <v>153</v>
      </c>
    </row>
    <row x14ac:dyDescent="0.25" r="24" customHeight="1" ht="18.75">
      <c r="A24" s="1"/>
      <c r="B24" s="4" t="s">
        <v>154</v>
      </c>
      <c r="C24" s="4" t="s">
        <v>155</v>
      </c>
      <c r="D24" s="1"/>
      <c r="E24" s="1"/>
      <c r="F24" s="1"/>
      <c r="G24" s="1"/>
      <c r="H24" s="1"/>
      <c r="I24" s="1"/>
      <c r="J24" s="1"/>
      <c r="K24" s="4" t="s">
        <v>156</v>
      </c>
      <c r="L24" s="1"/>
      <c r="M24" s="4" t="s">
        <v>157</v>
      </c>
    </row>
    <row x14ac:dyDescent="0.25" r="25" customHeight="1" ht="18.75">
      <c r="A25" s="1"/>
      <c r="B25" s="4" t="s">
        <v>158</v>
      </c>
      <c r="C25" s="4" t="s">
        <v>159</v>
      </c>
      <c r="D25" s="1"/>
      <c r="E25" s="1"/>
      <c r="F25" s="1"/>
      <c r="G25" s="1"/>
      <c r="H25" s="1"/>
      <c r="I25" s="1"/>
      <c r="J25" s="1"/>
      <c r="K25" s="4" t="s">
        <v>160</v>
      </c>
      <c r="L25" s="1"/>
      <c r="M25" s="4" t="s">
        <v>161</v>
      </c>
    </row>
    <row x14ac:dyDescent="0.25" r="26" customHeight="1" ht="18.75">
      <c r="A26" s="1"/>
      <c r="B26" s="4" t="s">
        <v>162</v>
      </c>
      <c r="C26" s="4" t="s">
        <v>163</v>
      </c>
      <c r="D26" s="1"/>
      <c r="E26" s="1"/>
      <c r="F26" s="1"/>
      <c r="G26" s="1"/>
      <c r="H26" s="1"/>
      <c r="I26" s="1"/>
      <c r="J26" s="1"/>
      <c r="K26" s="4" t="s">
        <v>164</v>
      </c>
      <c r="L26" s="1"/>
      <c r="M26" s="4" t="s">
        <v>165</v>
      </c>
    </row>
    <row x14ac:dyDescent="0.25" r="27" customHeight="1" ht="18.75">
      <c r="A27" s="1"/>
      <c r="B27" s="4" t="s">
        <v>166</v>
      </c>
      <c r="C27" s="4" t="s">
        <v>167</v>
      </c>
      <c r="D27" s="1"/>
      <c r="E27" s="1"/>
      <c r="F27" s="1"/>
      <c r="G27" s="1"/>
      <c r="H27" s="1"/>
      <c r="I27" s="1"/>
      <c r="J27" s="1"/>
      <c r="K27" s="4" t="s">
        <v>168</v>
      </c>
      <c r="L27" s="1"/>
      <c r="M27" s="4" t="s">
        <v>169</v>
      </c>
    </row>
    <row x14ac:dyDescent="0.25" r="28" customHeight="1" ht="18.75">
      <c r="A28" s="1"/>
      <c r="B28" s="4" t="s">
        <v>170</v>
      </c>
      <c r="C28" s="4" t="s">
        <v>171</v>
      </c>
      <c r="D28" s="1"/>
      <c r="E28" s="1"/>
      <c r="F28" s="1"/>
      <c r="G28" s="1"/>
      <c r="H28" s="1"/>
      <c r="I28" s="1"/>
      <c r="J28" s="1"/>
      <c r="K28" s="4" t="s">
        <v>172</v>
      </c>
      <c r="L28" s="1"/>
      <c r="M28" s="4" t="s">
        <v>173</v>
      </c>
    </row>
    <row x14ac:dyDescent="0.25" r="29" customHeight="1" ht="18.75">
      <c r="A29" s="1"/>
      <c r="B29" s="4" t="s">
        <v>174</v>
      </c>
      <c r="C29" s="4" t="s">
        <v>175</v>
      </c>
      <c r="D29" s="1"/>
      <c r="E29" s="1"/>
      <c r="F29" s="1"/>
      <c r="G29" s="1"/>
      <c r="H29" s="1"/>
      <c r="I29" s="1"/>
      <c r="J29" s="1"/>
      <c r="K29" s="4" t="s">
        <v>176</v>
      </c>
      <c r="L29" s="1"/>
      <c r="M29" s="4" t="s">
        <v>177</v>
      </c>
    </row>
    <row x14ac:dyDescent="0.25" r="30" customHeight="1" ht="18.75">
      <c r="A30" s="1"/>
      <c r="B30" s="4" t="s">
        <v>178</v>
      </c>
      <c r="C30" s="4" t="s">
        <v>179</v>
      </c>
      <c r="D30" s="1"/>
      <c r="E30" s="1"/>
      <c r="F30" s="1"/>
      <c r="G30" s="1"/>
      <c r="H30" s="1"/>
      <c r="I30" s="1"/>
      <c r="J30" s="1"/>
      <c r="K30" s="4" t="s">
        <v>180</v>
      </c>
      <c r="L30" s="1"/>
      <c r="M30" s="4" t="s">
        <v>181</v>
      </c>
    </row>
    <row x14ac:dyDescent="0.25" r="31" customHeight="1" ht="18.75">
      <c r="A31" s="1"/>
      <c r="B31" s="4" t="s">
        <v>182</v>
      </c>
      <c r="C31" s="4" t="s">
        <v>183</v>
      </c>
      <c r="D31" s="1"/>
      <c r="E31" s="1"/>
      <c r="F31" s="1"/>
      <c r="G31" s="1"/>
      <c r="H31" s="1"/>
      <c r="I31" s="1"/>
      <c r="J31" s="1"/>
      <c r="K31" s="4" t="s">
        <v>184</v>
      </c>
      <c r="L31" s="1"/>
      <c r="M31" s="4" t="s">
        <v>185</v>
      </c>
    </row>
    <row x14ac:dyDescent="0.25" r="32" customHeight="1" ht="18.75">
      <c r="A32" s="1"/>
      <c r="B32" s="4" t="s">
        <v>186</v>
      </c>
      <c r="C32" s="4" t="s">
        <v>187</v>
      </c>
      <c r="D32" s="1"/>
      <c r="E32" s="1"/>
      <c r="F32" s="1"/>
      <c r="G32" s="1"/>
      <c r="H32" s="1"/>
      <c r="I32" s="1"/>
      <c r="J32" s="1"/>
      <c r="K32" s="4" t="s">
        <v>188</v>
      </c>
      <c r="L32" s="1"/>
      <c r="M32" s="4" t="s">
        <v>189</v>
      </c>
    </row>
    <row x14ac:dyDescent="0.25" r="33" customHeight="1" ht="18.75">
      <c r="A33" s="1"/>
      <c r="B33" s="4" t="s">
        <v>190</v>
      </c>
      <c r="C33" s="4" t="s">
        <v>191</v>
      </c>
      <c r="D33" s="1"/>
      <c r="E33" s="1"/>
      <c r="F33" s="1"/>
      <c r="G33" s="1"/>
      <c r="H33" s="1"/>
      <c r="I33" s="1"/>
      <c r="J33" s="1"/>
      <c r="K33" s="4" t="s">
        <v>192</v>
      </c>
      <c r="L33" s="1"/>
      <c r="M33" s="4" t="s">
        <v>193</v>
      </c>
    </row>
    <row x14ac:dyDescent="0.25" r="34" customHeight="1" ht="18.75">
      <c r="A34" s="1"/>
      <c r="B34" s="4" t="s">
        <v>194</v>
      </c>
      <c r="C34" s="4" t="s">
        <v>195</v>
      </c>
      <c r="D34" s="1"/>
      <c r="E34" s="1"/>
      <c r="F34" s="1"/>
      <c r="G34" s="1"/>
      <c r="H34" s="1"/>
      <c r="I34" s="1"/>
      <c r="J34" s="1"/>
      <c r="K34" s="4" t="s">
        <v>196</v>
      </c>
      <c r="L34" s="1"/>
      <c r="M34" s="4" t="s">
        <v>197</v>
      </c>
    </row>
    <row x14ac:dyDescent="0.25" r="35" customHeight="1" ht="18.75">
      <c r="A35" s="1"/>
      <c r="B35" s="4" t="s">
        <v>198</v>
      </c>
      <c r="C35" s="4" t="s">
        <v>199</v>
      </c>
      <c r="D35" s="1"/>
      <c r="E35" s="1"/>
      <c r="F35" s="1"/>
      <c r="G35" s="1"/>
      <c r="H35" s="1"/>
      <c r="I35" s="1"/>
      <c r="J35" s="1"/>
      <c r="K35" s="4" t="s">
        <v>200</v>
      </c>
      <c r="L35" s="1"/>
      <c r="M35" s="4" t="s">
        <v>201</v>
      </c>
    </row>
    <row x14ac:dyDescent="0.25" r="36" customHeight="1" ht="18.75">
      <c r="A36" s="1"/>
      <c r="B36" s="4" t="s">
        <v>202</v>
      </c>
      <c r="C36" s="4" t="s">
        <v>203</v>
      </c>
      <c r="D36" s="1"/>
      <c r="E36" s="1"/>
      <c r="F36" s="1"/>
      <c r="G36" s="1"/>
      <c r="H36" s="1"/>
      <c r="I36" s="1"/>
      <c r="J36" s="1"/>
      <c r="K36" s="4" t="s">
        <v>204</v>
      </c>
      <c r="L36" s="1"/>
      <c r="M36" s="4"/>
    </row>
    <row x14ac:dyDescent="0.25" r="37" customHeight="1" ht="18.75">
      <c r="A37" s="1"/>
      <c r="B37" s="4" t="s">
        <v>205</v>
      </c>
      <c r="C37" s="4" t="s">
        <v>206</v>
      </c>
      <c r="D37" s="1"/>
      <c r="E37" s="1"/>
      <c r="F37" s="1"/>
      <c r="G37" s="1"/>
      <c r="H37" s="1"/>
      <c r="I37" s="1"/>
      <c r="J37" s="1"/>
      <c r="K37" s="4" t="s">
        <v>207</v>
      </c>
      <c r="L37" s="1"/>
      <c r="M37" s="4"/>
    </row>
    <row x14ac:dyDescent="0.25" r="38" customHeight="1" ht="18.75">
      <c r="A38" s="1"/>
      <c r="B38" s="4" t="s">
        <v>208</v>
      </c>
      <c r="C38" s="4" t="s">
        <v>209</v>
      </c>
      <c r="D38" s="1"/>
      <c r="E38" s="1"/>
      <c r="F38" s="1"/>
      <c r="G38" s="1"/>
      <c r="H38" s="1"/>
      <c r="I38" s="1"/>
      <c r="J38" s="1"/>
      <c r="K38" s="4" t="s">
        <v>210</v>
      </c>
      <c r="L38" s="1"/>
      <c r="M38" s="4"/>
    </row>
    <row x14ac:dyDescent="0.25" r="39" customHeight="1" ht="18.75">
      <c r="A39" s="1"/>
      <c r="B39" s="4" t="s">
        <v>211</v>
      </c>
      <c r="C39" s="4" t="s">
        <v>212</v>
      </c>
      <c r="D39" s="1"/>
      <c r="E39" s="1"/>
      <c r="F39" s="1"/>
      <c r="G39" s="1"/>
      <c r="H39" s="1"/>
      <c r="I39" s="1"/>
      <c r="J39" s="1"/>
      <c r="K39" s="4" t="s">
        <v>213</v>
      </c>
      <c r="L39" s="1"/>
      <c r="M39" s="4"/>
    </row>
    <row x14ac:dyDescent="0.25" r="40" customHeight="1" ht="18.75">
      <c r="A40" s="1"/>
      <c r="B40" s="4" t="s">
        <v>214</v>
      </c>
      <c r="C40" s="4" t="s">
        <v>215</v>
      </c>
      <c r="D40" s="1"/>
      <c r="E40" s="1"/>
      <c r="F40" s="1"/>
      <c r="G40" s="1"/>
      <c r="H40" s="1"/>
      <c r="I40" s="1"/>
      <c r="J40" s="1"/>
      <c r="K40" s="4" t="s">
        <v>216</v>
      </c>
      <c r="L40" s="1"/>
      <c r="M40" s="4"/>
    </row>
    <row x14ac:dyDescent="0.25" r="41" customHeight="1" ht="18.75">
      <c r="A41" s="1"/>
      <c r="B41" s="4" t="s">
        <v>217</v>
      </c>
      <c r="C41" s="4" t="s">
        <v>218</v>
      </c>
      <c r="D41" s="1"/>
      <c r="E41" s="1"/>
      <c r="F41" s="1"/>
      <c r="G41" s="1"/>
      <c r="H41" s="1"/>
      <c r="I41" s="1"/>
      <c r="J41" s="1"/>
      <c r="K41" s="4" t="s">
        <v>219</v>
      </c>
      <c r="L41" s="1"/>
      <c r="M41" s="4"/>
    </row>
    <row x14ac:dyDescent="0.25" r="42" customHeight="1" ht="18.75">
      <c r="A42" s="1"/>
      <c r="B42" s="4" t="s">
        <v>220</v>
      </c>
      <c r="C42" s="4" t="s">
        <v>221</v>
      </c>
      <c r="D42" s="1"/>
      <c r="E42" s="1"/>
      <c r="F42" s="1"/>
      <c r="G42" s="1"/>
      <c r="H42" s="1"/>
      <c r="I42" s="1"/>
      <c r="J42" s="1"/>
      <c r="K42" s="4" t="s">
        <v>222</v>
      </c>
      <c r="L42" s="1"/>
      <c r="M42" s="4"/>
    </row>
    <row x14ac:dyDescent="0.25" r="43" customHeight="1" ht="18.75">
      <c r="A43" s="1"/>
      <c r="B43" s="4" t="s">
        <v>223</v>
      </c>
      <c r="C43" s="4" t="s">
        <v>224</v>
      </c>
      <c r="D43" s="1"/>
      <c r="E43" s="1"/>
      <c r="F43" s="1"/>
      <c r="G43" s="1"/>
      <c r="H43" s="1"/>
      <c r="I43" s="1"/>
      <c r="J43" s="1"/>
      <c r="K43" s="4" t="s">
        <v>225</v>
      </c>
      <c r="L43" s="1"/>
      <c r="M43" s="4"/>
    </row>
    <row x14ac:dyDescent="0.25" r="44" customHeight="1" ht="18.75">
      <c r="A44" s="1"/>
      <c r="B44" s="4" t="s">
        <v>226</v>
      </c>
      <c r="C44" s="4" t="s">
        <v>227</v>
      </c>
      <c r="D44" s="1"/>
      <c r="E44" s="1"/>
      <c r="F44" s="1"/>
      <c r="G44" s="1"/>
      <c r="H44" s="1"/>
      <c r="I44" s="1"/>
      <c r="J44" s="1"/>
      <c r="K44" s="4" t="s">
        <v>228</v>
      </c>
      <c r="L44" s="1"/>
      <c r="M44" s="4"/>
    </row>
    <row x14ac:dyDescent="0.25" r="45" customHeight="1" ht="18.75">
      <c r="A45" s="1"/>
      <c r="B45" s="4" t="s">
        <v>229</v>
      </c>
      <c r="C45" s="4" t="s">
        <v>230</v>
      </c>
      <c r="D45" s="1"/>
      <c r="E45" s="1"/>
      <c r="F45" s="1"/>
      <c r="G45" s="1"/>
      <c r="H45" s="1"/>
      <c r="I45" s="1"/>
      <c r="J45" s="1"/>
      <c r="K45" s="4" t="s">
        <v>231</v>
      </c>
      <c r="L45" s="1"/>
      <c r="M45" s="4"/>
    </row>
    <row x14ac:dyDescent="0.25" r="46" customHeight="1" ht="18.75">
      <c r="A46" s="1"/>
      <c r="B46" s="4" t="s">
        <v>232</v>
      </c>
      <c r="C46" s="4" t="s">
        <v>233</v>
      </c>
      <c r="D46" s="1"/>
      <c r="E46" s="1"/>
      <c r="F46" s="1"/>
      <c r="G46" s="1"/>
      <c r="H46" s="1"/>
      <c r="I46" s="1"/>
      <c r="J46" s="1"/>
      <c r="K46" s="4" t="s">
        <v>234</v>
      </c>
      <c r="L46" s="1"/>
      <c r="M46" s="4"/>
    </row>
    <row x14ac:dyDescent="0.25" r="47" customHeight="1" ht="18.75">
      <c r="A47" s="1"/>
      <c r="B47" s="4" t="s">
        <v>235</v>
      </c>
      <c r="C47" s="4" t="s">
        <v>236</v>
      </c>
      <c r="D47" s="1"/>
      <c r="E47" s="1"/>
      <c r="F47" s="1"/>
      <c r="G47" s="1"/>
      <c r="H47" s="1"/>
      <c r="I47" s="1"/>
      <c r="J47" s="1"/>
      <c r="K47" s="4" t="s">
        <v>237</v>
      </c>
      <c r="L47" s="1"/>
      <c r="M47" s="4"/>
    </row>
    <row x14ac:dyDescent="0.25" r="48" customHeight="1" ht="18.75">
      <c r="A48" s="1"/>
      <c r="B48" s="4" t="s">
        <v>238</v>
      </c>
      <c r="C48" s="4" t="s">
        <v>239</v>
      </c>
      <c r="D48" s="1"/>
      <c r="E48" s="1"/>
      <c r="F48" s="1"/>
      <c r="G48" s="1"/>
      <c r="H48" s="1"/>
      <c r="I48" s="1"/>
      <c r="J48" s="1"/>
      <c r="K48" s="4" t="s">
        <v>240</v>
      </c>
      <c r="L48" s="1"/>
      <c r="M48" s="4"/>
    </row>
    <row x14ac:dyDescent="0.25" r="49" customHeight="1" ht="18.75">
      <c r="A49" s="1"/>
      <c r="B49" s="4" t="s">
        <v>241</v>
      </c>
      <c r="C49" s="4" t="s">
        <v>242</v>
      </c>
      <c r="D49" s="1"/>
      <c r="E49" s="1"/>
      <c r="F49" s="1"/>
      <c r="G49" s="1"/>
      <c r="H49" s="1"/>
      <c r="I49" s="1"/>
      <c r="J49" s="1"/>
      <c r="K49" s="4" t="s">
        <v>243</v>
      </c>
      <c r="L49" s="1"/>
      <c r="M49" s="4"/>
    </row>
    <row x14ac:dyDescent="0.25" r="50" customHeight="1" ht="18.75">
      <c r="A50" s="1"/>
      <c r="B50" s="4" t="s">
        <v>244</v>
      </c>
      <c r="C50" s="4" t="s">
        <v>245</v>
      </c>
      <c r="D50" s="1"/>
      <c r="E50" s="1"/>
      <c r="F50" s="1"/>
      <c r="G50" s="1"/>
      <c r="H50" s="1"/>
      <c r="I50" s="1"/>
      <c r="J50" s="1"/>
      <c r="K50" s="4" t="s">
        <v>246</v>
      </c>
      <c r="L50" s="1"/>
      <c r="M50" s="4"/>
    </row>
    <row x14ac:dyDescent="0.25" r="51" customHeight="1" ht="18.75">
      <c r="A51" s="1"/>
      <c r="B51" s="4" t="s">
        <v>247</v>
      </c>
      <c r="C51" s="4" t="s">
        <v>248</v>
      </c>
      <c r="D51" s="1"/>
      <c r="E51" s="1"/>
      <c r="F51" s="1"/>
      <c r="G51" s="1"/>
      <c r="H51" s="1"/>
      <c r="I51" s="1"/>
      <c r="J51" s="1"/>
      <c r="K51" s="4" t="s">
        <v>249</v>
      </c>
      <c r="L51" s="1"/>
      <c r="M51" s="4"/>
    </row>
    <row x14ac:dyDescent="0.25" r="52" customHeight="1" ht="18.75">
      <c r="A52" s="1"/>
      <c r="B52" s="4" t="s">
        <v>250</v>
      </c>
      <c r="C52" s="4" t="s">
        <v>251</v>
      </c>
      <c r="D52" s="1"/>
      <c r="E52" s="1"/>
      <c r="F52" s="1"/>
      <c r="G52" s="1"/>
      <c r="H52" s="1"/>
      <c r="I52" s="1"/>
      <c r="J52" s="1"/>
      <c r="K52" s="4" t="s">
        <v>252</v>
      </c>
      <c r="L52" s="1"/>
      <c r="M52" s="4"/>
    </row>
    <row x14ac:dyDescent="0.25" r="53" customHeight="1" ht="18.75">
      <c r="A53" s="1"/>
      <c r="B53" s="4" t="s">
        <v>253</v>
      </c>
      <c r="C53" s="4" t="s">
        <v>254</v>
      </c>
      <c r="D53" s="1"/>
      <c r="E53" s="1"/>
      <c r="F53" s="1"/>
      <c r="G53" s="1"/>
      <c r="H53" s="1"/>
      <c r="I53" s="1"/>
      <c r="J53" s="1"/>
      <c r="K53" s="4" t="s">
        <v>255</v>
      </c>
      <c r="L53" s="1"/>
      <c r="M53" s="4"/>
    </row>
    <row x14ac:dyDescent="0.25" r="54" customHeight="1" ht="18.75">
      <c r="A54" s="1"/>
      <c r="B54" s="4" t="s">
        <v>256</v>
      </c>
      <c r="C54" s="4" t="s">
        <v>257</v>
      </c>
      <c r="D54" s="1"/>
      <c r="E54" s="1"/>
      <c r="F54" s="1"/>
      <c r="G54" s="1"/>
      <c r="H54" s="1"/>
      <c r="I54" s="1"/>
      <c r="J54" s="1"/>
      <c r="K54" s="4" t="s">
        <v>258</v>
      </c>
      <c r="L54" s="1"/>
      <c r="M54" s="4"/>
    </row>
    <row x14ac:dyDescent="0.25" r="55" customHeight="1" ht="18.75">
      <c r="A55" s="1"/>
      <c r="B55" s="4" t="s">
        <v>259</v>
      </c>
      <c r="C55" s="4" t="s">
        <v>260</v>
      </c>
      <c r="D55" s="1"/>
      <c r="E55" s="1"/>
      <c r="F55" s="1"/>
      <c r="G55" s="1"/>
      <c r="H55" s="1"/>
      <c r="I55" s="1"/>
      <c r="J55" s="1"/>
      <c r="K55" s="4" t="s">
        <v>261</v>
      </c>
      <c r="L55" s="1"/>
      <c r="M55" s="4"/>
    </row>
    <row x14ac:dyDescent="0.25" r="56" customHeight="1" ht="18.75">
      <c r="A56" s="1"/>
      <c r="B56" s="4" t="s">
        <v>262</v>
      </c>
      <c r="C56" s="4" t="s">
        <v>263</v>
      </c>
      <c r="D56" s="1"/>
      <c r="E56" s="1"/>
      <c r="F56" s="1"/>
      <c r="G56" s="1"/>
      <c r="H56" s="1"/>
      <c r="I56" s="1"/>
      <c r="J56" s="1"/>
      <c r="K56" s="4" t="s">
        <v>264</v>
      </c>
      <c r="L56" s="1"/>
      <c r="M56" s="4"/>
    </row>
    <row x14ac:dyDescent="0.25" r="57" customHeight="1" ht="18.75">
      <c r="A57" s="1"/>
      <c r="B57" s="4" t="s">
        <v>265</v>
      </c>
      <c r="C57" s="4" t="s">
        <v>266</v>
      </c>
      <c r="D57" s="1"/>
      <c r="E57" s="1"/>
      <c r="F57" s="1"/>
      <c r="G57" s="1"/>
      <c r="H57" s="1"/>
      <c r="I57" s="1"/>
      <c r="J57" s="1"/>
      <c r="K57" s="4" t="s">
        <v>267</v>
      </c>
      <c r="L57" s="1"/>
      <c r="M57" s="4"/>
    </row>
    <row x14ac:dyDescent="0.25" r="58" customHeight="1" ht="18.75">
      <c r="A58" s="1"/>
      <c r="B58" s="4" t="s">
        <v>268</v>
      </c>
      <c r="C58" s="4" t="s">
        <v>269</v>
      </c>
      <c r="D58" s="1"/>
      <c r="E58" s="1"/>
      <c r="F58" s="1"/>
      <c r="G58" s="1"/>
      <c r="H58" s="1"/>
      <c r="I58" s="1"/>
      <c r="J58" s="1"/>
      <c r="K58" s="4" t="s">
        <v>270</v>
      </c>
      <c r="L58" s="1"/>
      <c r="M58" s="4"/>
    </row>
    <row x14ac:dyDescent="0.25" r="59" customHeight="1" ht="18.75">
      <c r="A59" s="1"/>
      <c r="B59" s="4" t="s">
        <v>271</v>
      </c>
      <c r="C59" s="4" t="s">
        <v>272</v>
      </c>
      <c r="D59" s="1"/>
      <c r="E59" s="1"/>
      <c r="F59" s="1"/>
      <c r="G59" s="1"/>
      <c r="H59" s="1"/>
      <c r="I59" s="1"/>
      <c r="J59" s="1"/>
      <c r="K59" s="4" t="s">
        <v>273</v>
      </c>
      <c r="L59" s="1"/>
      <c r="M59" s="4"/>
    </row>
    <row x14ac:dyDescent="0.25" r="60" customHeight="1" ht="18.75">
      <c r="A60" s="1"/>
      <c r="B60" s="4" t="s">
        <v>274</v>
      </c>
      <c r="C60" s="4" t="s">
        <v>275</v>
      </c>
      <c r="D60" s="1"/>
      <c r="E60" s="1"/>
      <c r="F60" s="1"/>
      <c r="G60" s="1"/>
      <c r="H60" s="1"/>
      <c r="I60" s="1"/>
      <c r="J60" s="1"/>
      <c r="K60" s="4" t="s">
        <v>276</v>
      </c>
      <c r="L60" s="1"/>
      <c r="M60" s="4"/>
    </row>
    <row x14ac:dyDescent="0.25" r="61" customHeight="1" ht="18.75">
      <c r="A61" s="1"/>
      <c r="B61" s="4" t="s">
        <v>277</v>
      </c>
      <c r="C61" s="4" t="s">
        <v>278</v>
      </c>
      <c r="D61" s="1"/>
      <c r="E61" s="1"/>
      <c r="F61" s="1"/>
      <c r="G61" s="1"/>
      <c r="H61" s="1"/>
      <c r="I61" s="1"/>
      <c r="J61" s="1"/>
      <c r="K61" s="4" t="s">
        <v>279</v>
      </c>
      <c r="L61" s="1"/>
      <c r="M61" s="4"/>
    </row>
    <row x14ac:dyDescent="0.25" r="62" customHeight="1" ht="18.75">
      <c r="A62" s="1"/>
      <c r="B62" s="4" t="s">
        <v>280</v>
      </c>
      <c r="C62" s="4" t="s">
        <v>281</v>
      </c>
      <c r="D62" s="1"/>
      <c r="E62" s="1"/>
      <c r="F62" s="1"/>
      <c r="G62" s="1"/>
      <c r="H62" s="1"/>
      <c r="I62" s="1"/>
      <c r="J62" s="1"/>
      <c r="K62" s="4" t="s">
        <v>282</v>
      </c>
      <c r="L62" s="1"/>
      <c r="M62" s="4"/>
    </row>
    <row x14ac:dyDescent="0.25" r="63" customHeight="1" ht="18.75">
      <c r="A63" s="1"/>
      <c r="B63" s="4" t="s">
        <v>283</v>
      </c>
      <c r="C63" s="4" t="s">
        <v>284</v>
      </c>
      <c r="D63" s="1"/>
      <c r="E63" s="1"/>
      <c r="F63" s="1"/>
      <c r="G63" s="1"/>
      <c r="H63" s="1"/>
      <c r="I63" s="1"/>
      <c r="J63" s="1"/>
      <c r="K63" s="4" t="s">
        <v>285</v>
      </c>
      <c r="L63" s="1"/>
      <c r="M63" s="4"/>
    </row>
    <row x14ac:dyDescent="0.25" r="64" customHeight="1" ht="18.75">
      <c r="A64" s="1"/>
      <c r="B64" s="4" t="s">
        <v>286</v>
      </c>
      <c r="C64" s="4" t="s">
        <v>287</v>
      </c>
      <c r="D64" s="1"/>
      <c r="E64" s="1"/>
      <c r="F64" s="1"/>
      <c r="G64" s="1"/>
      <c r="H64" s="1"/>
      <c r="I64" s="1"/>
      <c r="J64" s="1"/>
      <c r="K64" s="4" t="s">
        <v>288</v>
      </c>
      <c r="L64" s="1"/>
      <c r="M64" s="4"/>
    </row>
    <row x14ac:dyDescent="0.25" r="65" customHeight="1" ht="18.75">
      <c r="A65" s="1"/>
      <c r="B65" s="4" t="s">
        <v>289</v>
      </c>
      <c r="C65" s="4" t="s">
        <v>290</v>
      </c>
      <c r="D65" s="1"/>
      <c r="E65" s="1"/>
      <c r="F65" s="1"/>
      <c r="G65" s="1"/>
      <c r="H65" s="1"/>
      <c r="I65" s="1"/>
      <c r="J65" s="1"/>
      <c r="K65" s="4" t="s">
        <v>291</v>
      </c>
      <c r="L65" s="1"/>
      <c r="M65" s="4"/>
    </row>
    <row x14ac:dyDescent="0.25" r="66" customHeight="1" ht="18.75">
      <c r="A66" s="1"/>
      <c r="B66" s="4" t="s">
        <v>292</v>
      </c>
      <c r="C66" s="4" t="s">
        <v>293</v>
      </c>
      <c r="D66" s="1"/>
      <c r="E66" s="1"/>
      <c r="F66" s="1"/>
      <c r="G66" s="1"/>
      <c r="H66" s="1"/>
      <c r="I66" s="1"/>
      <c r="J66" s="1"/>
      <c r="K66" s="4" t="s">
        <v>294</v>
      </c>
      <c r="L66" s="1"/>
      <c r="M66" s="4"/>
    </row>
    <row x14ac:dyDescent="0.25" r="67" customHeight="1" ht="18.75">
      <c r="A67" s="1"/>
      <c r="B67" s="4" t="s">
        <v>295</v>
      </c>
      <c r="C67" s="4" t="s">
        <v>296</v>
      </c>
      <c r="D67" s="1"/>
      <c r="E67" s="1"/>
      <c r="F67" s="1"/>
      <c r="G67" s="1"/>
      <c r="H67" s="1"/>
      <c r="I67" s="1"/>
      <c r="J67" s="1"/>
      <c r="K67" s="4" t="s">
        <v>297</v>
      </c>
      <c r="L67" s="1"/>
      <c r="M67" s="4"/>
    </row>
    <row x14ac:dyDescent="0.25" r="68" customHeight="1" ht="18.75">
      <c r="A68" s="1"/>
      <c r="B68" s="4" t="s">
        <v>298</v>
      </c>
      <c r="C68" s="4" t="s">
        <v>299</v>
      </c>
      <c r="D68" s="1"/>
      <c r="E68" s="1"/>
      <c r="F68" s="1"/>
      <c r="G68" s="1"/>
      <c r="H68" s="1"/>
      <c r="I68" s="1"/>
      <c r="J68" s="1"/>
      <c r="K68" s="4" t="s">
        <v>300</v>
      </c>
      <c r="L68" s="1"/>
      <c r="M68" s="4"/>
    </row>
    <row x14ac:dyDescent="0.25" r="69" customHeight="1" ht="18.75">
      <c r="A69" s="1"/>
      <c r="B69" s="4" t="s">
        <v>301</v>
      </c>
      <c r="C69" s="4" t="s">
        <v>302</v>
      </c>
      <c r="D69" s="1"/>
      <c r="E69" s="1"/>
      <c r="F69" s="1"/>
      <c r="G69" s="1"/>
      <c r="H69" s="1"/>
      <c r="I69" s="1"/>
      <c r="J69" s="1"/>
      <c r="K69" s="4" t="s">
        <v>303</v>
      </c>
      <c r="L69" s="1"/>
      <c r="M69" s="4"/>
    </row>
    <row x14ac:dyDescent="0.25" r="70" customHeight="1" ht="18.75">
      <c r="A70" s="1"/>
      <c r="B70" s="4" t="s">
        <v>304</v>
      </c>
      <c r="C70" s="4" t="s">
        <v>305</v>
      </c>
      <c r="D70" s="1"/>
      <c r="E70" s="1"/>
      <c r="F70" s="1"/>
      <c r="G70" s="1"/>
      <c r="H70" s="1"/>
      <c r="I70" s="1"/>
      <c r="J70" s="1"/>
      <c r="K70" s="4" t="s">
        <v>306</v>
      </c>
      <c r="L70" s="1"/>
      <c r="M70" s="4"/>
    </row>
    <row x14ac:dyDescent="0.25" r="71" customHeight="1" ht="18.75">
      <c r="A71" s="1"/>
      <c r="B71" s="4" t="s">
        <v>307</v>
      </c>
      <c r="C71" s="4" t="s">
        <v>308</v>
      </c>
      <c r="D71" s="1"/>
      <c r="E71" s="1"/>
      <c r="F71" s="1"/>
      <c r="G71" s="1"/>
      <c r="H71" s="1"/>
      <c r="I71" s="1"/>
      <c r="J71" s="1"/>
      <c r="K71" s="4" t="s">
        <v>309</v>
      </c>
      <c r="L71" s="1"/>
      <c r="M71" s="4"/>
    </row>
    <row x14ac:dyDescent="0.25" r="72" customHeight="1" ht="18.75">
      <c r="A72" s="1"/>
      <c r="B72" s="4" t="s">
        <v>310</v>
      </c>
      <c r="C72" s="4" t="s">
        <v>311</v>
      </c>
      <c r="D72" s="1"/>
      <c r="E72" s="1"/>
      <c r="F72" s="1"/>
      <c r="G72" s="1"/>
      <c r="H72" s="1"/>
      <c r="I72" s="1"/>
      <c r="J72" s="1"/>
      <c r="K72" s="4" t="s">
        <v>312</v>
      </c>
      <c r="L72" s="1"/>
      <c r="M72" s="4"/>
    </row>
    <row x14ac:dyDescent="0.25" r="73" customHeight="1" ht="18.75">
      <c r="A73" s="1"/>
      <c r="B73" s="4" t="s">
        <v>313</v>
      </c>
      <c r="C73" s="4" t="s">
        <v>314</v>
      </c>
      <c r="D73" s="1"/>
      <c r="E73" s="1"/>
      <c r="F73" s="1"/>
      <c r="G73" s="1"/>
      <c r="H73" s="1"/>
      <c r="I73" s="1"/>
      <c r="J73" s="1"/>
      <c r="K73" s="4" t="s">
        <v>315</v>
      </c>
      <c r="L73" s="1"/>
      <c r="M73" s="4"/>
    </row>
    <row x14ac:dyDescent="0.25" r="74" customHeight="1" ht="18.75">
      <c r="A74" s="1"/>
      <c r="B74" s="4" t="s">
        <v>316</v>
      </c>
      <c r="C74" s="4" t="s">
        <v>317</v>
      </c>
      <c r="D74" s="1"/>
      <c r="E74" s="1"/>
      <c r="F74" s="1"/>
      <c r="G74" s="1"/>
      <c r="H74" s="1"/>
      <c r="I74" s="1"/>
      <c r="J74" s="1"/>
      <c r="K74" s="4" t="s">
        <v>318</v>
      </c>
      <c r="L74" s="1"/>
      <c r="M74" s="4"/>
    </row>
    <row x14ac:dyDescent="0.25" r="75" customHeight="1" ht="18.75">
      <c r="A75" s="1"/>
      <c r="B75" s="4" t="s">
        <v>319</v>
      </c>
      <c r="C75" s="4" t="s">
        <v>320</v>
      </c>
      <c r="D75" s="1"/>
      <c r="E75" s="1"/>
      <c r="F75" s="1"/>
      <c r="G75" s="1"/>
      <c r="H75" s="1"/>
      <c r="I75" s="1"/>
      <c r="J75" s="1"/>
      <c r="K75" s="4" t="s">
        <v>321</v>
      </c>
      <c r="L75" s="1"/>
      <c r="M75" s="4"/>
    </row>
    <row x14ac:dyDescent="0.25" r="76" customHeight="1" ht="18.75">
      <c r="A76" s="1"/>
      <c r="B76" s="4" t="s">
        <v>322</v>
      </c>
      <c r="C76" s="4" t="s">
        <v>323</v>
      </c>
      <c r="D76" s="1"/>
      <c r="E76" s="1"/>
      <c r="F76" s="1"/>
      <c r="G76" s="1"/>
      <c r="H76" s="1"/>
      <c r="I76" s="1"/>
      <c r="J76" s="1"/>
      <c r="K76" s="4" t="s">
        <v>324</v>
      </c>
      <c r="L76" s="1"/>
      <c r="M76" s="4"/>
    </row>
    <row x14ac:dyDescent="0.25" r="77" customHeight="1" ht="18.75">
      <c r="A77" s="1"/>
      <c r="B77" s="4" t="s">
        <v>325</v>
      </c>
      <c r="C77" s="4" t="s">
        <v>326</v>
      </c>
      <c r="D77" s="1"/>
      <c r="E77" s="1"/>
      <c r="F77" s="1"/>
      <c r="G77" s="1"/>
      <c r="H77" s="1"/>
      <c r="I77" s="1"/>
      <c r="J77" s="1"/>
      <c r="K77" s="4" t="s">
        <v>327</v>
      </c>
      <c r="L77" s="1"/>
      <c r="M77" s="4"/>
    </row>
    <row x14ac:dyDescent="0.25" r="78" customHeight="1" ht="18.75">
      <c r="A78" s="1"/>
      <c r="B78" s="4" t="s">
        <v>328</v>
      </c>
      <c r="C78" s="4" t="s">
        <v>329</v>
      </c>
      <c r="D78" s="1"/>
      <c r="E78" s="1"/>
      <c r="F78" s="1"/>
      <c r="G78" s="1"/>
      <c r="H78" s="1"/>
      <c r="I78" s="1"/>
      <c r="J78" s="1"/>
      <c r="K78" s="4" t="s">
        <v>330</v>
      </c>
      <c r="L78" s="1"/>
      <c r="M78" s="4"/>
    </row>
    <row x14ac:dyDescent="0.25" r="79" customHeight="1" ht="18.75">
      <c r="A79" s="1"/>
      <c r="B79" s="4" t="s">
        <v>331</v>
      </c>
      <c r="C79" s="4" t="s">
        <v>332</v>
      </c>
      <c r="D79" s="1"/>
      <c r="E79" s="1"/>
      <c r="F79" s="1"/>
      <c r="G79" s="1"/>
      <c r="H79" s="1"/>
      <c r="I79" s="1"/>
      <c r="J79" s="1"/>
      <c r="K79" s="4" t="s">
        <v>333</v>
      </c>
      <c r="L79" s="1"/>
      <c r="M79" s="4"/>
    </row>
    <row x14ac:dyDescent="0.25" r="80" customHeight="1" ht="18.75">
      <c r="A80" s="1"/>
      <c r="B80" s="4" t="s">
        <v>334</v>
      </c>
      <c r="C80" s="4" t="s">
        <v>335</v>
      </c>
      <c r="D80" s="1"/>
      <c r="E80" s="1"/>
      <c r="F80" s="1"/>
      <c r="G80" s="1"/>
      <c r="H80" s="1"/>
      <c r="I80" s="1"/>
      <c r="J80" s="1"/>
      <c r="K80" s="4" t="s">
        <v>336</v>
      </c>
      <c r="L80" s="1"/>
      <c r="M80" s="4"/>
    </row>
    <row x14ac:dyDescent="0.25" r="81" customHeight="1" ht="18.75">
      <c r="A81" s="1"/>
      <c r="B81" s="4" t="s">
        <v>337</v>
      </c>
      <c r="C81" s="4" t="s">
        <v>338</v>
      </c>
      <c r="D81" s="1"/>
      <c r="E81" s="1"/>
      <c r="F81" s="1"/>
      <c r="G81" s="1"/>
      <c r="H81" s="1"/>
      <c r="I81" s="1"/>
      <c r="J81" s="1"/>
      <c r="K81" s="4" t="s">
        <v>339</v>
      </c>
      <c r="L81" s="1"/>
      <c r="M81" s="4"/>
    </row>
    <row x14ac:dyDescent="0.25" r="82" customHeight="1" ht="18.75">
      <c r="A82" s="1"/>
      <c r="B82" s="4" t="s">
        <v>340</v>
      </c>
      <c r="C82" s="4" t="s">
        <v>341</v>
      </c>
      <c r="D82" s="1"/>
      <c r="E82" s="1"/>
      <c r="F82" s="1"/>
      <c r="G82" s="1"/>
      <c r="H82" s="1"/>
      <c r="I82" s="1"/>
      <c r="J82" s="1"/>
      <c r="K82" s="4" t="s">
        <v>342</v>
      </c>
      <c r="L82" s="1"/>
      <c r="M82" s="4"/>
    </row>
    <row x14ac:dyDescent="0.25" r="83" customHeight="1" ht="18.75">
      <c r="A83" s="1"/>
      <c r="B83" s="4" t="s">
        <v>343</v>
      </c>
      <c r="C83" s="4" t="s">
        <v>344</v>
      </c>
      <c r="D83" s="1"/>
      <c r="E83" s="1"/>
      <c r="F83" s="1"/>
      <c r="G83" s="1"/>
      <c r="H83" s="1"/>
      <c r="I83" s="1"/>
      <c r="J83" s="1"/>
      <c r="K83" s="4" t="s">
        <v>345</v>
      </c>
      <c r="L83" s="1"/>
      <c r="M83" s="4"/>
    </row>
    <row x14ac:dyDescent="0.25" r="84" customHeight="1" ht="18.75">
      <c r="A84" s="1"/>
      <c r="B84" s="4" t="s">
        <v>346</v>
      </c>
      <c r="C84" s="4" t="s">
        <v>347</v>
      </c>
      <c r="D84" s="1"/>
      <c r="E84" s="1"/>
      <c r="F84" s="1"/>
      <c r="G84" s="1"/>
      <c r="H84" s="1"/>
      <c r="I84" s="1"/>
      <c r="J84" s="1"/>
      <c r="K84" s="4" t="s">
        <v>348</v>
      </c>
      <c r="L84" s="1"/>
      <c r="M84" s="4"/>
    </row>
    <row x14ac:dyDescent="0.25" r="85" customHeight="1" ht="18.75">
      <c r="A85" s="1"/>
      <c r="B85" s="4" t="s">
        <v>349</v>
      </c>
      <c r="C85" s="4" t="s">
        <v>350</v>
      </c>
      <c r="D85" s="1"/>
      <c r="E85" s="1"/>
      <c r="F85" s="1"/>
      <c r="G85" s="1"/>
      <c r="H85" s="1"/>
      <c r="I85" s="1"/>
      <c r="J85" s="1"/>
      <c r="K85" s="4" t="s">
        <v>351</v>
      </c>
      <c r="L85" s="1"/>
      <c r="M85" s="4"/>
    </row>
    <row x14ac:dyDescent="0.25" r="86" customHeight="1" ht="18.75">
      <c r="A86" s="1"/>
      <c r="B86" s="4" t="s">
        <v>352</v>
      </c>
      <c r="C86" s="4" t="s">
        <v>353</v>
      </c>
      <c r="D86" s="1"/>
      <c r="E86" s="1"/>
      <c r="F86" s="1"/>
      <c r="G86" s="1"/>
      <c r="H86" s="1"/>
      <c r="I86" s="1"/>
      <c r="J86" s="1"/>
      <c r="K86" s="4" t="s">
        <v>354</v>
      </c>
      <c r="L86" s="1"/>
      <c r="M86" s="4"/>
    </row>
    <row x14ac:dyDescent="0.25" r="87" customHeight="1" ht="18.75">
      <c r="A87" s="1"/>
      <c r="B87" s="4" t="s">
        <v>355</v>
      </c>
      <c r="C87" s="4" t="s">
        <v>356</v>
      </c>
      <c r="D87" s="1"/>
      <c r="E87" s="1"/>
      <c r="F87" s="1"/>
      <c r="G87" s="1"/>
      <c r="H87" s="1"/>
      <c r="I87" s="1"/>
      <c r="J87" s="1"/>
      <c r="K87" s="4" t="s">
        <v>357</v>
      </c>
      <c r="L87" s="1"/>
      <c r="M87" s="4"/>
    </row>
    <row x14ac:dyDescent="0.25" r="88" customHeight="1" ht="18.75">
      <c r="A88" s="1"/>
      <c r="B88" s="4" t="s">
        <v>358</v>
      </c>
      <c r="C88" s="4" t="s">
        <v>359</v>
      </c>
      <c r="D88" s="1"/>
      <c r="E88" s="1"/>
      <c r="F88" s="1"/>
      <c r="G88" s="1"/>
      <c r="H88" s="1"/>
      <c r="I88" s="1"/>
      <c r="J88" s="1"/>
      <c r="K88" s="4" t="s">
        <v>360</v>
      </c>
      <c r="L88" s="1"/>
      <c r="M88" s="4"/>
    </row>
    <row x14ac:dyDescent="0.25" r="89" customHeight="1" ht="18.75">
      <c r="A89" s="1"/>
      <c r="B89" s="4" t="s">
        <v>361</v>
      </c>
      <c r="C89" s="4" t="s">
        <v>362</v>
      </c>
      <c r="D89" s="1"/>
      <c r="E89" s="1"/>
      <c r="F89" s="1"/>
      <c r="G89" s="1"/>
      <c r="H89" s="1"/>
      <c r="I89" s="1"/>
      <c r="J89" s="1"/>
      <c r="K89" s="4" t="s">
        <v>363</v>
      </c>
      <c r="L89" s="1"/>
      <c r="M89" s="4"/>
    </row>
    <row x14ac:dyDescent="0.25" r="90" customHeight="1" ht="18.75">
      <c r="A90" s="1"/>
      <c r="B90" s="4" t="s">
        <v>364</v>
      </c>
      <c r="C90" s="4" t="s">
        <v>365</v>
      </c>
      <c r="D90" s="1"/>
      <c r="E90" s="1"/>
      <c r="F90" s="1"/>
      <c r="G90" s="1"/>
      <c r="H90" s="1"/>
      <c r="I90" s="1"/>
      <c r="J90" s="1"/>
      <c r="K90" s="4" t="s">
        <v>366</v>
      </c>
      <c r="L90" s="1"/>
      <c r="M90" s="4"/>
    </row>
    <row x14ac:dyDescent="0.25" r="91" customHeight="1" ht="18.75">
      <c r="A91" s="1"/>
      <c r="B91" s="4" t="s">
        <v>367</v>
      </c>
      <c r="C91" s="4" t="s">
        <v>368</v>
      </c>
      <c r="D91" s="1"/>
      <c r="E91" s="1"/>
      <c r="F91" s="1"/>
      <c r="G91" s="1"/>
      <c r="H91" s="1"/>
      <c r="I91" s="1"/>
      <c r="J91" s="1"/>
      <c r="K91" s="4" t="s">
        <v>369</v>
      </c>
      <c r="L91" s="1"/>
      <c r="M91" s="4"/>
    </row>
    <row x14ac:dyDescent="0.25" r="92" customHeight="1" ht="18.75">
      <c r="A92" s="1"/>
      <c r="B92" s="4" t="s">
        <v>370</v>
      </c>
      <c r="C92" s="4" t="s">
        <v>371</v>
      </c>
      <c r="D92" s="1"/>
      <c r="E92" s="1"/>
      <c r="F92" s="1"/>
      <c r="G92" s="1"/>
      <c r="H92" s="1"/>
      <c r="I92" s="1"/>
      <c r="J92" s="1"/>
      <c r="K92" s="4" t="s">
        <v>372</v>
      </c>
      <c r="L92" s="1"/>
      <c r="M92" s="4"/>
    </row>
    <row x14ac:dyDescent="0.25" r="93" customHeight="1" ht="18.75">
      <c r="A93" s="1"/>
      <c r="B93" s="4" t="s">
        <v>373</v>
      </c>
      <c r="C93" s="4" t="s">
        <v>374</v>
      </c>
      <c r="D93" s="1"/>
      <c r="E93" s="1"/>
      <c r="F93" s="1"/>
      <c r="G93" s="1"/>
      <c r="H93" s="1"/>
      <c r="I93" s="1"/>
      <c r="J93" s="1"/>
      <c r="K93" s="4" t="s">
        <v>375</v>
      </c>
      <c r="L93" s="1"/>
      <c r="M93" s="4"/>
    </row>
    <row x14ac:dyDescent="0.25" r="94" customHeight="1" ht="18.75">
      <c r="A94" s="1"/>
      <c r="B94" s="4" t="s">
        <v>376</v>
      </c>
      <c r="C94" s="4" t="s">
        <v>377</v>
      </c>
      <c r="D94" s="1"/>
      <c r="E94" s="1"/>
      <c r="F94" s="1"/>
      <c r="G94" s="1"/>
      <c r="H94" s="1"/>
      <c r="I94" s="1"/>
      <c r="J94" s="1"/>
      <c r="K94" s="4" t="s">
        <v>378</v>
      </c>
      <c r="L94" s="1"/>
      <c r="M94" s="4"/>
    </row>
    <row x14ac:dyDescent="0.25" r="95" customHeight="1" ht="18.75">
      <c r="A95" s="1"/>
      <c r="B95" s="4" t="s">
        <v>379</v>
      </c>
      <c r="C95" s="4" t="s">
        <v>380</v>
      </c>
      <c r="D95" s="1"/>
      <c r="E95" s="1"/>
      <c r="F95" s="1"/>
      <c r="G95" s="1"/>
      <c r="H95" s="1"/>
      <c r="I95" s="1"/>
      <c r="J95" s="1"/>
      <c r="K95" s="4" t="s">
        <v>381</v>
      </c>
      <c r="L95" s="1"/>
      <c r="M95" s="4"/>
    </row>
    <row x14ac:dyDescent="0.25" r="96" customHeight="1" ht="18.75">
      <c r="A96" s="1"/>
      <c r="B96" s="4" t="s">
        <v>382</v>
      </c>
      <c r="C96" s="4" t="s">
        <v>383</v>
      </c>
      <c r="D96" s="1"/>
      <c r="E96" s="1"/>
      <c r="F96" s="1"/>
      <c r="G96" s="1"/>
      <c r="H96" s="1"/>
      <c r="I96" s="1"/>
      <c r="J96" s="1"/>
      <c r="K96" s="4" t="s">
        <v>384</v>
      </c>
      <c r="L96" s="1"/>
      <c r="M96" s="4"/>
    </row>
    <row x14ac:dyDescent="0.25" r="97" customHeight="1" ht="18.75">
      <c r="A97" s="1"/>
      <c r="B97" s="4" t="s">
        <v>385</v>
      </c>
      <c r="C97" s="4" t="s">
        <v>386</v>
      </c>
      <c r="D97" s="1"/>
      <c r="E97" s="1"/>
      <c r="F97" s="1"/>
      <c r="G97" s="1"/>
      <c r="H97" s="1"/>
      <c r="I97" s="1"/>
      <c r="J97" s="1"/>
      <c r="K97" s="4" t="s">
        <v>387</v>
      </c>
      <c r="L97" s="1"/>
      <c r="M97" s="4"/>
    </row>
    <row x14ac:dyDescent="0.25" r="98" customHeight="1" ht="18.75">
      <c r="A98" s="1"/>
      <c r="B98" s="4" t="s">
        <v>388</v>
      </c>
      <c r="C98" s="4" t="s">
        <v>389</v>
      </c>
      <c r="D98" s="1"/>
      <c r="E98" s="1"/>
      <c r="F98" s="1"/>
      <c r="G98" s="1"/>
      <c r="H98" s="1"/>
      <c r="I98" s="1"/>
      <c r="J98" s="1"/>
      <c r="K98" s="4" t="s">
        <v>390</v>
      </c>
      <c r="L98" s="1"/>
      <c r="M98" s="4"/>
    </row>
    <row x14ac:dyDescent="0.25" r="99" customHeight="1" ht="18.75">
      <c r="A99" s="1"/>
      <c r="B99" s="4" t="s">
        <v>391</v>
      </c>
      <c r="C99" s="4" t="s">
        <v>392</v>
      </c>
      <c r="D99" s="1"/>
      <c r="E99" s="1"/>
      <c r="F99" s="1"/>
      <c r="G99" s="1"/>
      <c r="H99" s="1"/>
      <c r="I99" s="1"/>
      <c r="J99" s="1"/>
      <c r="K99" s="4" t="s">
        <v>393</v>
      </c>
      <c r="L99" s="1"/>
      <c r="M99" s="4"/>
    </row>
    <row x14ac:dyDescent="0.25" r="100" customHeight="1" ht="18.75">
      <c r="A100" s="1"/>
      <c r="B100" s="4" t="s">
        <v>394</v>
      </c>
      <c r="C100" s="4" t="s">
        <v>395</v>
      </c>
      <c r="D100" s="1"/>
      <c r="E100" s="1"/>
      <c r="F100" s="1"/>
      <c r="G100" s="1"/>
      <c r="H100" s="1"/>
      <c r="I100" s="1"/>
      <c r="J100" s="1"/>
      <c r="K100" s="4" t="s">
        <v>396</v>
      </c>
      <c r="L100" s="1"/>
      <c r="M100" s="4"/>
    </row>
    <row x14ac:dyDescent="0.25" r="101" customHeight="1" ht="18.75">
      <c r="A101" s="1"/>
      <c r="B101" s="4" t="s">
        <v>397</v>
      </c>
      <c r="C101" s="4" t="s">
        <v>398</v>
      </c>
      <c r="D101" s="1"/>
      <c r="E101" s="1"/>
      <c r="F101" s="1"/>
      <c r="G101" s="1"/>
      <c r="H101" s="1"/>
      <c r="I101" s="1"/>
      <c r="J101" s="1"/>
      <c r="K101" s="4" t="s">
        <v>399</v>
      </c>
      <c r="L101" s="1"/>
      <c r="M101" s="4"/>
    </row>
    <row x14ac:dyDescent="0.25" r="102" customHeight="1" ht="18.75">
      <c r="A102" s="1"/>
      <c r="B102" s="4" t="s">
        <v>400</v>
      </c>
      <c r="C102" s="4" t="s">
        <v>401</v>
      </c>
      <c r="D102" s="1"/>
      <c r="E102" s="1"/>
      <c r="F102" s="1"/>
      <c r="G102" s="1"/>
      <c r="H102" s="1"/>
      <c r="I102" s="1"/>
      <c r="J102" s="1"/>
      <c r="K102" s="4" t="s">
        <v>402</v>
      </c>
      <c r="L102" s="1"/>
      <c r="M102" s="4"/>
    </row>
    <row x14ac:dyDescent="0.25" r="103" customHeight="1" ht="18.75">
      <c r="A103" s="1"/>
      <c r="B103" s="4" t="s">
        <v>403</v>
      </c>
      <c r="C103" s="4" t="s">
        <v>404</v>
      </c>
      <c r="D103" s="1"/>
      <c r="E103" s="1"/>
      <c r="F103" s="1"/>
      <c r="G103" s="1"/>
      <c r="H103" s="1"/>
      <c r="I103" s="1"/>
      <c r="J103" s="1"/>
      <c r="K103" s="4" t="s">
        <v>405</v>
      </c>
      <c r="L103" s="1"/>
      <c r="M103" s="4"/>
    </row>
    <row x14ac:dyDescent="0.25" r="104" customHeight="1" ht="18.75">
      <c r="A104" s="1"/>
      <c r="B104" s="4" t="s">
        <v>406</v>
      </c>
      <c r="C104" s="4" t="s">
        <v>407</v>
      </c>
      <c r="D104" s="1"/>
      <c r="E104" s="1"/>
      <c r="F104" s="1"/>
      <c r="G104" s="1"/>
      <c r="H104" s="1"/>
      <c r="I104" s="1"/>
      <c r="J104" s="1"/>
      <c r="K104" s="4" t="s">
        <v>408</v>
      </c>
      <c r="L104" s="1"/>
      <c r="M104" s="4"/>
    </row>
    <row x14ac:dyDescent="0.25" r="105" customHeight="1" ht="18.75">
      <c r="A105" s="1"/>
      <c r="B105" s="4" t="s">
        <v>409</v>
      </c>
      <c r="C105" s="4" t="s">
        <v>410</v>
      </c>
      <c r="D105" s="1"/>
      <c r="E105" s="1"/>
      <c r="F105" s="1"/>
      <c r="G105" s="1"/>
      <c r="H105" s="1"/>
      <c r="I105" s="1"/>
      <c r="J105" s="1"/>
      <c r="K105" s="4" t="s">
        <v>411</v>
      </c>
      <c r="L105" s="1"/>
      <c r="M105" s="4"/>
    </row>
    <row x14ac:dyDescent="0.25" r="106" customHeight="1" ht="18.75">
      <c r="A106" s="1"/>
      <c r="B106" s="4" t="s">
        <v>412</v>
      </c>
      <c r="C106" s="4" t="s">
        <v>413</v>
      </c>
      <c r="D106" s="1"/>
      <c r="E106" s="1"/>
      <c r="F106" s="1"/>
      <c r="G106" s="1"/>
      <c r="H106" s="1"/>
      <c r="I106" s="1"/>
      <c r="J106" s="1"/>
      <c r="K106" s="4" t="s">
        <v>414</v>
      </c>
      <c r="L106" s="1"/>
      <c r="M106" s="4"/>
    </row>
    <row x14ac:dyDescent="0.25" r="107" customHeight="1" ht="18.75">
      <c r="A107" s="1"/>
      <c r="B107" s="4" t="s">
        <v>415</v>
      </c>
      <c r="C107" s="4" t="s">
        <v>416</v>
      </c>
      <c r="D107" s="1"/>
      <c r="E107" s="1"/>
      <c r="F107" s="1"/>
      <c r="G107" s="1"/>
      <c r="H107" s="1"/>
      <c r="I107" s="1"/>
      <c r="J107" s="1"/>
      <c r="K107" s="4" t="s">
        <v>417</v>
      </c>
      <c r="L107" s="1"/>
      <c r="M107" s="4"/>
    </row>
    <row x14ac:dyDescent="0.25" r="108" customHeight="1" ht="18.75">
      <c r="A108" s="1"/>
      <c r="B108" s="4" t="s">
        <v>418</v>
      </c>
      <c r="C108" s="4" t="s">
        <v>419</v>
      </c>
      <c r="D108" s="1"/>
      <c r="E108" s="1"/>
      <c r="F108" s="1"/>
      <c r="G108" s="1"/>
      <c r="H108" s="1"/>
      <c r="I108" s="1"/>
      <c r="J108" s="1"/>
      <c r="K108" s="4" t="s">
        <v>420</v>
      </c>
      <c r="L108" s="1"/>
      <c r="M108" s="1"/>
    </row>
    <row x14ac:dyDescent="0.25" r="109" customHeight="1" ht="18.75">
      <c r="A109" s="1"/>
      <c r="B109" s="4" t="s">
        <v>421</v>
      </c>
      <c r="C109" s="4" t="s">
        <v>422</v>
      </c>
      <c r="D109" s="1"/>
      <c r="E109" s="1"/>
      <c r="F109" s="1"/>
      <c r="G109" s="1"/>
      <c r="H109" s="1"/>
      <c r="I109" s="1"/>
      <c r="J109" s="1"/>
      <c r="K109" s="4" t="s">
        <v>423</v>
      </c>
      <c r="L109" s="1"/>
      <c r="M109" s="1"/>
    </row>
    <row x14ac:dyDescent="0.25" r="110" customHeight="1" ht="18.75">
      <c r="A110" s="1"/>
      <c r="B110" s="4" t="s">
        <v>424</v>
      </c>
      <c r="C110" s="4" t="s">
        <v>425</v>
      </c>
      <c r="D110" s="1"/>
      <c r="E110" s="1"/>
      <c r="F110" s="1"/>
      <c r="G110" s="1"/>
      <c r="H110" s="1"/>
      <c r="I110" s="1"/>
      <c r="J110" s="1"/>
      <c r="K110" s="4" t="s">
        <v>426</v>
      </c>
      <c r="L110" s="1"/>
      <c r="M110" s="1"/>
    </row>
    <row x14ac:dyDescent="0.25" r="111" customHeight="1" ht="18.75">
      <c r="A111" s="1"/>
      <c r="B111" s="4" t="s">
        <v>427</v>
      </c>
      <c r="C111" s="4" t="s">
        <v>428</v>
      </c>
      <c r="D111" s="1"/>
      <c r="E111" s="1"/>
      <c r="F111" s="1"/>
      <c r="G111" s="1"/>
      <c r="H111" s="1"/>
      <c r="I111" s="1"/>
      <c r="J111" s="1"/>
      <c r="K111" s="4" t="s">
        <v>429</v>
      </c>
      <c r="L111" s="1"/>
      <c r="M111" s="1"/>
    </row>
    <row x14ac:dyDescent="0.25" r="112" customHeight="1" ht="18.75">
      <c r="A112" s="1"/>
      <c r="B112" s="4" t="s">
        <v>430</v>
      </c>
      <c r="C112" s="4" t="s">
        <v>431</v>
      </c>
      <c r="D112" s="1"/>
      <c r="E112" s="1"/>
      <c r="F112" s="1"/>
      <c r="G112" s="1"/>
      <c r="H112" s="1"/>
      <c r="I112" s="1"/>
      <c r="J112" s="1"/>
      <c r="K112" s="4" t="s">
        <v>432</v>
      </c>
      <c r="L112" s="1"/>
      <c r="M112" s="1"/>
    </row>
    <row x14ac:dyDescent="0.25" r="113" customHeight="1" ht="18.75">
      <c r="A113" s="1"/>
      <c r="B113" s="4" t="s">
        <v>433</v>
      </c>
      <c r="C113" s="4" t="s">
        <v>434</v>
      </c>
      <c r="D113" s="1"/>
      <c r="E113" s="1"/>
      <c r="F113" s="1"/>
      <c r="G113" s="1"/>
      <c r="H113" s="1"/>
      <c r="I113" s="1"/>
      <c r="J113" s="1"/>
      <c r="K113" s="4" t="s">
        <v>435</v>
      </c>
      <c r="L113" s="1"/>
      <c r="M113" s="1"/>
    </row>
    <row x14ac:dyDescent="0.25" r="114" customHeight="1" ht="18.75">
      <c r="A114" s="1"/>
      <c r="B114" s="4" t="s">
        <v>436</v>
      </c>
      <c r="C114" s="4" t="s">
        <v>437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</row>
    <row x14ac:dyDescent="0.25" r="115" customHeight="1" ht="18.75">
      <c r="A115" s="1"/>
      <c r="B115" s="4" t="s">
        <v>438</v>
      </c>
      <c r="C115" s="4" t="s">
        <v>439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</row>
    <row x14ac:dyDescent="0.25" r="116" customHeight="1" ht="18.75">
      <c r="A116" s="1"/>
      <c r="B116" s="4" t="s">
        <v>440</v>
      </c>
      <c r="C116" s="4" t="s">
        <v>441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</row>
    <row x14ac:dyDescent="0.25" r="117" customHeight="1" ht="18.75">
      <c r="A117" s="1"/>
      <c r="B117" s="4" t="s">
        <v>442</v>
      </c>
      <c r="C117" s="4" t="s">
        <v>443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</row>
    <row x14ac:dyDescent="0.25" r="118" customHeight="1" ht="18.75">
      <c r="A118" s="1"/>
      <c r="B118" s="4" t="s">
        <v>444</v>
      </c>
      <c r="C118" s="4" t="s">
        <v>445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</row>
    <row x14ac:dyDescent="0.25" r="119" customHeight="1" ht="18.75">
      <c r="A119" s="1"/>
      <c r="B119" s="4" t="s">
        <v>446</v>
      </c>
      <c r="C119" s="4" t="s">
        <v>447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</row>
    <row x14ac:dyDescent="0.25" r="120" customHeight="1" ht="18.75">
      <c r="A120" s="1"/>
      <c r="B120" s="4" t="s">
        <v>448</v>
      </c>
      <c r="C120" s="4" t="s">
        <v>449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</row>
    <row x14ac:dyDescent="0.25" r="121" customHeight="1" ht="18.75">
      <c r="A121" s="1"/>
      <c r="B121" s="4" t="s">
        <v>450</v>
      </c>
      <c r="C121" s="4" t="s">
        <v>451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</row>
    <row x14ac:dyDescent="0.25" r="122" customHeight="1" ht="18.75">
      <c r="A122" s="1"/>
      <c r="B122" s="4" t="s">
        <v>452</v>
      </c>
      <c r="C122" s="4" t="s">
        <v>453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</row>
    <row x14ac:dyDescent="0.25" r="123" customHeight="1" ht="18.75">
      <c r="A123" s="1"/>
      <c r="B123" s="4" t="s">
        <v>454</v>
      </c>
      <c r="C123" s="4" t="s">
        <v>455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</row>
    <row x14ac:dyDescent="0.25" r="124" customHeight="1" ht="18.75">
      <c r="A124" s="1"/>
      <c r="B124" s="4" t="s">
        <v>456</v>
      </c>
      <c r="C124" s="4" t="s">
        <v>457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</row>
    <row x14ac:dyDescent="0.25" r="125" customHeight="1" ht="18.75">
      <c r="A125" s="1"/>
      <c r="B125" s="4" t="s">
        <v>458</v>
      </c>
      <c r="C125" s="4" t="s">
        <v>459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</row>
    <row x14ac:dyDescent="0.25" r="126" customHeight="1" ht="18.75">
      <c r="A126" s="1"/>
      <c r="B126" s="4" t="s">
        <v>460</v>
      </c>
      <c r="C126" s="4" t="s">
        <v>461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</row>
    <row x14ac:dyDescent="0.25" r="127" customHeight="1" ht="18.75">
      <c r="A127" s="1"/>
      <c r="B127" s="4" t="s">
        <v>462</v>
      </c>
      <c r="C127" s="4" t="s">
        <v>463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</row>
    <row x14ac:dyDescent="0.25" r="128" customHeight="1" ht="18.75">
      <c r="A128" s="1"/>
      <c r="B128" s="4" t="s">
        <v>464</v>
      </c>
      <c r="C128" s="4" t="s">
        <v>465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</row>
    <row x14ac:dyDescent="0.25" r="129" customHeight="1" ht="18.75">
      <c r="A129" s="1"/>
      <c r="B129" s="4" t="s">
        <v>466</v>
      </c>
      <c r="C129" s="4" t="s">
        <v>467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</row>
    <row x14ac:dyDescent="0.25" r="130" customHeight="1" ht="18.75">
      <c r="A130" s="1"/>
      <c r="B130" s="4" t="s">
        <v>468</v>
      </c>
      <c r="C130" s="4" t="s">
        <v>469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</row>
    <row x14ac:dyDescent="0.25" r="131" customHeight="1" ht="18.75">
      <c r="A131" s="1"/>
      <c r="B131" s="4" t="s">
        <v>470</v>
      </c>
      <c r="C131" s="4" t="s">
        <v>471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</row>
    <row x14ac:dyDescent="0.25" r="132" customHeight="1" ht="18.75">
      <c r="A132" s="1"/>
      <c r="B132" s="4" t="s">
        <v>472</v>
      </c>
      <c r="C132" s="4" t="s">
        <v>473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</row>
    <row x14ac:dyDescent="0.25" r="133" customHeight="1" ht="18.75">
      <c r="A133" s="1"/>
      <c r="B133" s="4" t="s">
        <v>474</v>
      </c>
      <c r="C133" s="4" t="s">
        <v>475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</row>
    <row x14ac:dyDescent="0.25" r="134" customHeight="1" ht="18.75">
      <c r="A134" s="1"/>
      <c r="B134" s="4" t="s">
        <v>476</v>
      </c>
      <c r="C134" s="4" t="s">
        <v>477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</row>
    <row x14ac:dyDescent="0.25" r="135" customHeight="1" ht="18.75">
      <c r="A135" s="1"/>
      <c r="B135" s="4" t="s">
        <v>478</v>
      </c>
      <c r="C135" s="4" t="s">
        <v>479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</row>
    <row x14ac:dyDescent="0.25" r="136" customHeight="1" ht="18.75">
      <c r="A136" s="1"/>
      <c r="B136" s="4" t="s">
        <v>480</v>
      </c>
      <c r="C136" s="4" t="s">
        <v>481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</row>
    <row x14ac:dyDescent="0.25" r="137" customHeight="1" ht="18.75">
      <c r="A137" s="1"/>
      <c r="B137" s="4" t="s">
        <v>482</v>
      </c>
      <c r="C137" s="4" t="s">
        <v>483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</row>
    <row x14ac:dyDescent="0.25" r="138" customHeight="1" ht="18.75">
      <c r="A138" s="1"/>
      <c r="B138" s="4" t="s">
        <v>484</v>
      </c>
      <c r="C138" s="4" t="s">
        <v>485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</row>
    <row x14ac:dyDescent="0.25" r="139" customHeight="1" ht="18.75">
      <c r="A139" s="1"/>
      <c r="B139" s="4" t="s">
        <v>486</v>
      </c>
      <c r="C139" s="4" t="s">
        <v>487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</row>
    <row x14ac:dyDescent="0.25" r="140" customHeight="1" ht="18.75">
      <c r="A140" s="1"/>
      <c r="B140" s="4" t="s">
        <v>488</v>
      </c>
      <c r="C140" s="4" t="s">
        <v>489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</row>
    <row x14ac:dyDescent="0.25" r="141" customHeight="1" ht="18.75">
      <c r="A141" s="1"/>
      <c r="B141" s="4" t="s">
        <v>490</v>
      </c>
      <c r="C141" s="4" t="s">
        <v>491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</row>
    <row x14ac:dyDescent="0.25" r="142" customHeight="1" ht="18.75">
      <c r="A142" s="1"/>
      <c r="B142" s="4" t="s">
        <v>492</v>
      </c>
      <c r="C142" s="4" t="s">
        <v>493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</row>
    <row x14ac:dyDescent="0.25" r="143" customHeight="1" ht="18.75">
      <c r="A143" s="1"/>
      <c r="B143" s="4" t="s">
        <v>494</v>
      </c>
      <c r="C143" s="4" t="s">
        <v>495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</row>
    <row x14ac:dyDescent="0.25" r="144" customHeight="1" ht="18.75">
      <c r="A144" s="1"/>
      <c r="B144" s="4" t="s">
        <v>496</v>
      </c>
      <c r="C144" s="4" t="s">
        <v>497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</row>
    <row x14ac:dyDescent="0.25" r="145" customHeight="1" ht="18.75">
      <c r="A145" s="1"/>
      <c r="B145" s="4" t="s">
        <v>498</v>
      </c>
      <c r="C145" s="4" t="s">
        <v>499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</row>
    <row x14ac:dyDescent="0.25" r="146" customHeight="1" ht="18.75">
      <c r="A146" s="1"/>
      <c r="B146" s="4" t="s">
        <v>500</v>
      </c>
      <c r="C146" s="4" t="s">
        <v>501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</row>
    <row x14ac:dyDescent="0.25" r="147" customHeight="1" ht="18.75">
      <c r="A147" s="1"/>
      <c r="B147" s="4" t="s">
        <v>502</v>
      </c>
      <c r="C147" s="4" t="s">
        <v>503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</row>
    <row x14ac:dyDescent="0.25" r="148" customHeight="1" ht="18.75">
      <c r="A148" s="1"/>
      <c r="B148" s="4" t="s">
        <v>504</v>
      </c>
      <c r="C148" s="4" t="s">
        <v>505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</row>
    <row x14ac:dyDescent="0.25" r="149" customHeight="1" ht="18.75">
      <c r="A149" s="1"/>
      <c r="B149" s="4" t="s">
        <v>506</v>
      </c>
      <c r="C149" s="4" t="s">
        <v>507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</row>
    <row x14ac:dyDescent="0.25" r="150" customHeight="1" ht="18.75">
      <c r="A150" s="1"/>
      <c r="B150" s="4" t="s">
        <v>508</v>
      </c>
      <c r="C150" s="4" t="s">
        <v>509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</row>
    <row x14ac:dyDescent="0.25" r="151" customHeight="1" ht="18.75">
      <c r="A151" s="1"/>
      <c r="B151" s="4" t="s">
        <v>510</v>
      </c>
      <c r="C151" s="4" t="s">
        <v>511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</row>
    <row x14ac:dyDescent="0.25" r="152" customHeight="1" ht="18.75">
      <c r="A152" s="1"/>
      <c r="B152" s="4" t="s">
        <v>512</v>
      </c>
      <c r="C152" s="4" t="s">
        <v>513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</row>
    <row x14ac:dyDescent="0.25" r="153" customHeight="1" ht="18.75">
      <c r="A153" s="1"/>
      <c r="B153" s="4" t="s">
        <v>514</v>
      </c>
      <c r="C153" s="4" t="s">
        <v>515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</row>
    <row x14ac:dyDescent="0.25" r="154" customHeight="1" ht="18.75">
      <c r="A154" s="1"/>
      <c r="B154" s="4" t="s">
        <v>516</v>
      </c>
      <c r="C154" s="4" t="s">
        <v>517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</row>
    <row x14ac:dyDescent="0.25" r="155" customHeight="1" ht="18.75">
      <c r="A155" s="1"/>
      <c r="B155" s="4" t="s">
        <v>516</v>
      </c>
      <c r="C155" s="4" t="s">
        <v>518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</row>
    <row x14ac:dyDescent="0.25" r="156" customHeight="1" ht="18.75">
      <c r="A156" s="1"/>
      <c r="B156" s="4" t="s">
        <v>519</v>
      </c>
      <c r="C156" s="4" t="s">
        <v>520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</row>
    <row x14ac:dyDescent="0.25" r="157" customHeight="1" ht="18.75">
      <c r="A157" s="1"/>
      <c r="B157" s="4" t="s">
        <v>521</v>
      </c>
      <c r="C157" s="4" t="s">
        <v>522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</row>
    <row x14ac:dyDescent="0.25" r="158" customHeight="1" ht="18.75">
      <c r="A158" s="1"/>
      <c r="B158" s="4" t="s">
        <v>523</v>
      </c>
      <c r="C158" s="4" t="s">
        <v>524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</row>
    <row x14ac:dyDescent="0.25" r="159" customHeight="1" ht="18.75">
      <c r="A159" s="1"/>
      <c r="B159" s="4" t="s">
        <v>525</v>
      </c>
      <c r="C159" s="4" t="s">
        <v>526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</row>
    <row x14ac:dyDescent="0.25" r="160" customHeight="1" ht="18.75">
      <c r="A160" s="1"/>
      <c r="B160" s="4" t="s">
        <v>527</v>
      </c>
      <c r="C160" s="4" t="s">
        <v>528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</row>
    <row x14ac:dyDescent="0.25" r="161" customHeight="1" ht="18.75">
      <c r="A161" s="1"/>
      <c r="B161" s="4" t="s">
        <v>529</v>
      </c>
      <c r="C161" s="4" t="s">
        <v>530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</row>
    <row x14ac:dyDescent="0.25" r="162" customHeight="1" ht="18.75">
      <c r="A162" s="1"/>
      <c r="B162" s="4" t="s">
        <v>531</v>
      </c>
      <c r="C162" s="4" t="s">
        <v>532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</row>
    <row x14ac:dyDescent="0.25" r="163" customHeight="1" ht="18.75">
      <c r="A163" s="1"/>
      <c r="B163" s="4" t="s">
        <v>533</v>
      </c>
      <c r="C163" s="4" t="s">
        <v>534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</row>
    <row x14ac:dyDescent="0.25" r="164" customHeight="1" ht="18.75">
      <c r="A164" s="1"/>
      <c r="B164" s="4" t="s">
        <v>535</v>
      </c>
      <c r="C164" s="4" t="s">
        <v>536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</row>
    <row x14ac:dyDescent="0.25" r="165" customHeight="1" ht="18.75">
      <c r="A165" s="1"/>
      <c r="B165" s="4" t="s">
        <v>537</v>
      </c>
      <c r="C165" s="4" t="s">
        <v>538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</row>
    <row x14ac:dyDescent="0.25" r="166" customHeight="1" ht="18.75">
      <c r="A166" s="1"/>
      <c r="B166" s="4" t="s">
        <v>539</v>
      </c>
      <c r="C166" s="4" t="s">
        <v>540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</row>
    <row x14ac:dyDescent="0.25" r="167" customHeight="1" ht="18.75">
      <c r="A167" s="1"/>
      <c r="B167" s="4" t="s">
        <v>541</v>
      </c>
      <c r="C167" s="4" t="s">
        <v>542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</row>
    <row x14ac:dyDescent="0.25" r="168" customHeight="1" ht="18.75">
      <c r="A168" s="1"/>
      <c r="B168" s="4" t="s">
        <v>543</v>
      </c>
      <c r="C168" s="4" t="s">
        <v>544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</row>
    <row x14ac:dyDescent="0.25" r="169" customHeight="1" ht="18.75">
      <c r="A169" s="1"/>
      <c r="B169" s="4" t="s">
        <v>545</v>
      </c>
      <c r="C169" s="4" t="s">
        <v>546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</row>
  </sheetData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6</vt:i4>
      </vt:variant>
    </vt:vector>
  </HeadingPairs>
  <TitlesOfParts>
    <vt:vector baseType="lpstr" size="6">
      <vt:lpstr>ISINs</vt:lpstr>
      <vt:lpstr>1.Form</vt:lpstr>
      <vt:lpstr>2.Export</vt:lpstr>
      <vt:lpstr>Export_Conversion</vt:lpstr>
      <vt:lpstr>Version History</vt:lpstr>
      <vt:lpstr>Lists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2025-09-23T10:48:18.315Z</dcterms:created>
  <dcterms:modified xsi:type="dcterms:W3CDTF">2025-09-23T10:48:18.315Z</dcterms:modified>
</cp:coreProperties>
</file>